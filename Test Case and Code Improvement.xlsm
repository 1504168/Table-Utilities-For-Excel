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smail\Desktop\Table Utilities\"/>
    </mc:Choice>
  </mc:AlternateContent>
  <xr:revisionPtr revIDLastSave="0" documentId="13_ncr:1_{93EB14A7-2485-4E13-8930-A5E8B87B6FD7}" xr6:coauthVersionLast="47" xr6:coauthVersionMax="47" xr10:uidLastSave="{00000000-0000-0000-0000-000000000000}"/>
  <bookViews>
    <workbookView xWindow="0" yWindow="0" windowWidth="20490" windowHeight="10920" activeTab="4" xr2:uid="{00000000-000D-0000-FFFF-FFFF00000000}"/>
  </bookViews>
  <sheets>
    <sheet name="Sheet1" sheetId="1" r:id="rId1"/>
    <sheet name="Filler Test Data" sheetId="2" r:id="rId2"/>
    <sheet name="Test Show Data" sheetId="5" r:id="rId3"/>
    <sheet name="Sheet2" sheetId="6" r:id="rId4"/>
    <sheet name="FilteredItemTestData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1" l="1"/>
  <c r="M5" i="1"/>
  <c r="M6" i="1"/>
  <c r="M7" i="1"/>
  <c r="M8" i="1"/>
  <c r="M9" i="1"/>
  <c r="M10" i="1"/>
  <c r="M11" i="1"/>
  <c r="M12" i="1"/>
  <c r="M13" i="1"/>
  <c r="M14" i="1"/>
  <c r="M3" i="1"/>
</calcChain>
</file>

<file path=xl/sharedStrings.xml><?xml version="1.0" encoding="utf-8"?>
<sst xmlns="http://schemas.openxmlformats.org/spreadsheetml/2006/main" count="6695" uniqueCount="261">
  <si>
    <t>Main Option</t>
  </si>
  <si>
    <t>Flavours</t>
  </si>
  <si>
    <t>Price per person</t>
  </si>
  <si>
    <t>Original Donuts</t>
  </si>
  <si>
    <t>Glazed donuts</t>
  </si>
  <si>
    <t>Cinnamon Sugar donuts</t>
  </si>
  <si>
    <t>Gourmet Donuts</t>
  </si>
  <si>
    <t>Milkybar</t>
  </si>
  <si>
    <t>Bar One</t>
  </si>
  <si>
    <t>Nutella</t>
  </si>
  <si>
    <t>Flake</t>
  </si>
  <si>
    <t>Chocolate Nut</t>
  </si>
  <si>
    <t>Oreo</t>
  </si>
  <si>
    <t>Sugar Coated</t>
  </si>
  <si>
    <t>Peppermint Crisp</t>
  </si>
  <si>
    <t>Salted Caramel</t>
  </si>
  <si>
    <t>Cup cakes</t>
  </si>
  <si>
    <t>Vanilla and chocolate trio mousse</t>
  </si>
  <si>
    <t>Vanilla and milkybar mousse</t>
  </si>
  <si>
    <t>Chocolate and dark chocolate mousse</t>
  </si>
  <si>
    <t>Vanilla and caramel mousse</t>
  </si>
  <si>
    <t>Red velvet and cream cheese icing</t>
  </si>
  <si>
    <t>Carrot, banana and cream cheese icing</t>
  </si>
  <si>
    <t>Name</t>
  </si>
  <si>
    <t>Age</t>
  </si>
  <si>
    <t xml:space="preserve">Equal </t>
  </si>
  <si>
    <t xml:space="preserve">DOES_NOT_EQUAL </t>
  </si>
  <si>
    <t xml:space="preserve">GREATER_THAN </t>
  </si>
  <si>
    <t xml:space="preserve">GREATER_THAN_OR_EQUAL_TO </t>
  </si>
  <si>
    <t xml:space="preserve">LESS_THAN </t>
  </si>
  <si>
    <t xml:space="preserve">LESS_THAN_OR_EQUAL_TO </t>
  </si>
  <si>
    <t xml:space="preserve">CONTAINS </t>
  </si>
  <si>
    <t xml:space="preserve">DOES_NOT_CONTAINS </t>
  </si>
  <si>
    <t xml:space="preserve">STARTS_WITH </t>
  </si>
  <si>
    <t xml:space="preserve">ENDS_WITH </t>
  </si>
  <si>
    <t xml:space="preserve">IN_BETWEEN </t>
  </si>
  <si>
    <t xml:space="preserve">NOT_IN_BETWEEN </t>
  </si>
  <si>
    <t>Region</t>
  </si>
  <si>
    <t>Country</t>
  </si>
  <si>
    <t>Item Type</t>
  </si>
  <si>
    <t>Sales Channel</t>
  </si>
  <si>
    <t>Order Priority</t>
  </si>
  <si>
    <t>Order Date</t>
  </si>
  <si>
    <t>Order ID</t>
  </si>
  <si>
    <t>Ship Date</t>
  </si>
  <si>
    <t>Units Sold</t>
  </si>
  <si>
    <t>Unit Price</t>
  </si>
  <si>
    <t>Unit Cost</t>
  </si>
  <si>
    <t>Total Revenue</t>
  </si>
  <si>
    <t>Total Cost</t>
  </si>
  <si>
    <t>Total Profit</t>
  </si>
  <si>
    <t>Sub-Saharan Africa</t>
  </si>
  <si>
    <t>Sierra Leone</t>
  </si>
  <si>
    <t>Fruits</t>
  </si>
  <si>
    <t>Offline</t>
  </si>
  <si>
    <t>M</t>
  </si>
  <si>
    <t>Middle East and North Africa</t>
  </si>
  <si>
    <t>Afghanistan</t>
  </si>
  <si>
    <t>Baby Food</t>
  </si>
  <si>
    <t>C</t>
  </si>
  <si>
    <t>Asia</t>
  </si>
  <si>
    <t>Kyrgyzstan</t>
  </si>
  <si>
    <t>Cosmetics</t>
  </si>
  <si>
    <t>L</t>
  </si>
  <si>
    <t>Togo</t>
  </si>
  <si>
    <t>Office Supplies</t>
  </si>
  <si>
    <t>North America</t>
  </si>
  <si>
    <t>Greenland</t>
  </si>
  <si>
    <t>Clothes</t>
  </si>
  <si>
    <t>Nepal</t>
  </si>
  <si>
    <t>H</t>
  </si>
  <si>
    <t>Brunei</t>
  </si>
  <si>
    <t>Central America and the Caribbean</t>
  </si>
  <si>
    <t>Saint Vincent and the Grenadines</t>
  </si>
  <si>
    <t>Australia and Oceania</t>
  </si>
  <si>
    <t>East Timor</t>
  </si>
  <si>
    <t>Meat</t>
  </si>
  <si>
    <t>Belize</t>
  </si>
  <si>
    <t>Beverages</t>
  </si>
  <si>
    <t>Rwanda</t>
  </si>
  <si>
    <t>Household</t>
  </si>
  <si>
    <t>Europe</t>
  </si>
  <si>
    <t>Serbia</t>
  </si>
  <si>
    <t>Ghana</t>
  </si>
  <si>
    <t>Liechtenstein</t>
  </si>
  <si>
    <t>Cyprus</t>
  </si>
  <si>
    <t>Somalia</t>
  </si>
  <si>
    <t>South Sudan</t>
  </si>
  <si>
    <t>Snacks</t>
  </si>
  <si>
    <t>Ukraine</t>
  </si>
  <si>
    <t>Malaysia</t>
  </si>
  <si>
    <t>Nicaragua</t>
  </si>
  <si>
    <t>Yemen</t>
  </si>
  <si>
    <t>Personal Care</t>
  </si>
  <si>
    <t>Uganda</t>
  </si>
  <si>
    <t>United States of America</t>
  </si>
  <si>
    <t>Vegetables</t>
  </si>
  <si>
    <t>Israel</t>
  </si>
  <si>
    <t>Angola</t>
  </si>
  <si>
    <t>Kiribati</t>
  </si>
  <si>
    <t>Cereal</t>
  </si>
  <si>
    <t>Costa Rica</t>
  </si>
  <si>
    <t>Slovenia</t>
  </si>
  <si>
    <t>Denmark</t>
  </si>
  <si>
    <t>Papua New Guinea</t>
  </si>
  <si>
    <t>Syria</t>
  </si>
  <si>
    <t>Bahrain</t>
  </si>
  <si>
    <t>Malawi</t>
  </si>
  <si>
    <t>Germany</t>
  </si>
  <si>
    <t xml:space="preserve">Saint Kitts and Nevis </t>
  </si>
  <si>
    <t>Andorra</t>
  </si>
  <si>
    <t>Zimbabwe</t>
  </si>
  <si>
    <t>Kuwait</t>
  </si>
  <si>
    <t>Niger</t>
  </si>
  <si>
    <t>Gabon</t>
  </si>
  <si>
    <t>Kosovo</t>
  </si>
  <si>
    <t>Benin</t>
  </si>
  <si>
    <t>Bosnia and Herzegovina</t>
  </si>
  <si>
    <t>Federated States of Micronesia</t>
  </si>
  <si>
    <t>Sweden</t>
  </si>
  <si>
    <t>Vietnam</t>
  </si>
  <si>
    <t>Macedonia</t>
  </si>
  <si>
    <t>Central African Republic</t>
  </si>
  <si>
    <t xml:space="preserve">Samoa </t>
  </si>
  <si>
    <t>Iran</t>
  </si>
  <si>
    <t>Mauritania</t>
  </si>
  <si>
    <t>Norway</t>
  </si>
  <si>
    <t>Myanmar</t>
  </si>
  <si>
    <t>Djibouti</t>
  </si>
  <si>
    <t>Hungary</t>
  </si>
  <si>
    <t>Bhutan</t>
  </si>
  <si>
    <t>Saint Lucia</t>
  </si>
  <si>
    <t>Online</t>
  </si>
  <si>
    <t>Armenia</t>
  </si>
  <si>
    <t>Barbados</t>
  </si>
  <si>
    <t>Lebanon</t>
  </si>
  <si>
    <t>Nigeria</t>
  </si>
  <si>
    <t>The Gambia</t>
  </si>
  <si>
    <t>Latvia</t>
  </si>
  <si>
    <t>Japan</t>
  </si>
  <si>
    <t>Croatia</t>
  </si>
  <si>
    <t>Nauru</t>
  </si>
  <si>
    <t>Switzerland</t>
  </si>
  <si>
    <t>Algeria</t>
  </si>
  <si>
    <t>Liberia</t>
  </si>
  <si>
    <t xml:space="preserve">Moldova </t>
  </si>
  <si>
    <t>Laos</t>
  </si>
  <si>
    <t>Tonga</t>
  </si>
  <si>
    <t>Portugal</t>
  </si>
  <si>
    <t>Cambodia</t>
  </si>
  <si>
    <t>Belarus</t>
  </si>
  <si>
    <t>Sao Tome and Principe</t>
  </si>
  <si>
    <t>Slovakia</t>
  </si>
  <si>
    <t>Guinea</t>
  </si>
  <si>
    <t>Burundi</t>
  </si>
  <si>
    <t>Palau</t>
  </si>
  <si>
    <t>Azerbaijan</t>
  </si>
  <si>
    <t>Montenegro</t>
  </si>
  <si>
    <t>Albania</t>
  </si>
  <si>
    <t>Jordan</t>
  </si>
  <si>
    <t>Namibia</t>
  </si>
  <si>
    <t>Ethiopia</t>
  </si>
  <si>
    <t>Marshall Islands</t>
  </si>
  <si>
    <t>Spain</t>
  </si>
  <si>
    <t>Uzbekistan</t>
  </si>
  <si>
    <t>Guinea-Bissau</t>
  </si>
  <si>
    <t xml:space="preserve">Tunisia </t>
  </si>
  <si>
    <t>Canada</t>
  </si>
  <si>
    <t>Mali</t>
  </si>
  <si>
    <t>Netherlands</t>
  </si>
  <si>
    <t>Cote d'Ivoire</t>
  </si>
  <si>
    <t>Greece</t>
  </si>
  <si>
    <t>Bangladesh</t>
  </si>
  <si>
    <t>The Bahamas</t>
  </si>
  <si>
    <t>Botswana</t>
  </si>
  <si>
    <t>Dominican Republic</t>
  </si>
  <si>
    <t>Malta</t>
  </si>
  <si>
    <t>Chad</t>
  </si>
  <si>
    <t>Solomon Islands</t>
  </si>
  <si>
    <t>Poland</t>
  </si>
  <si>
    <t>Iceland</t>
  </si>
  <si>
    <t>Austria</t>
  </si>
  <si>
    <t>Fiji</t>
  </si>
  <si>
    <t>Libya</t>
  </si>
  <si>
    <t>Thailand</t>
  </si>
  <si>
    <t>New Zealand</t>
  </si>
  <si>
    <t>El Salvador</t>
  </si>
  <si>
    <t>Monaco</t>
  </si>
  <si>
    <t>Tuvalu</t>
  </si>
  <si>
    <t>Mozambique</t>
  </si>
  <si>
    <t>Romania</t>
  </si>
  <si>
    <t>Eritrea</t>
  </si>
  <si>
    <t>Ireland</t>
  </si>
  <si>
    <t>Turkmenistan</t>
  </si>
  <si>
    <t>Luxembourg</t>
  </si>
  <si>
    <t>Cameroon</t>
  </si>
  <si>
    <t>Swaziland</t>
  </si>
  <si>
    <t>Vatican City</t>
  </si>
  <si>
    <t xml:space="preserve">Antigua and Barbuda </t>
  </si>
  <si>
    <t>Russia</t>
  </si>
  <si>
    <t>Sri Lanka</t>
  </si>
  <si>
    <t>India</t>
  </si>
  <si>
    <t>Tanzania</t>
  </si>
  <si>
    <t>Saudi Arabia</t>
  </si>
  <si>
    <t>South Africa</t>
  </si>
  <si>
    <t>Comoros</t>
  </si>
  <si>
    <t>Mexico</t>
  </si>
  <si>
    <t>Iraq</t>
  </si>
  <si>
    <t xml:space="preserve">Mauritius </t>
  </si>
  <si>
    <t>Trinidad and Tobago</t>
  </si>
  <si>
    <t>Lithuania</t>
  </si>
  <si>
    <t>Czech Republic</t>
  </si>
  <si>
    <t>United Kingdom</t>
  </si>
  <si>
    <t>Maldives</t>
  </si>
  <si>
    <t>Panama</t>
  </si>
  <si>
    <t>Zambia</t>
  </si>
  <si>
    <t>Italy</t>
  </si>
  <si>
    <t>China</t>
  </si>
  <si>
    <t>Pakistan</t>
  </si>
  <si>
    <t>Cape Verde</t>
  </si>
  <si>
    <t>Australia</t>
  </si>
  <si>
    <t>San Marino</t>
  </si>
  <si>
    <t>Bulgaria</t>
  </si>
  <si>
    <t>Jamaica</t>
  </si>
  <si>
    <t>Kazakhstan</t>
  </si>
  <si>
    <t>Grenada</t>
  </si>
  <si>
    <t>Madagascar</t>
  </si>
  <si>
    <t>Senegal</t>
  </si>
  <si>
    <t>Mongolia</t>
  </si>
  <si>
    <t>Dominica</t>
  </si>
  <si>
    <t>Kenya</t>
  </si>
  <si>
    <t>Estonia</t>
  </si>
  <si>
    <t>Tajikistan</t>
  </si>
  <si>
    <t>Burkina Faso</t>
  </si>
  <si>
    <t>Equatorial Guinea</t>
  </si>
  <si>
    <t>Morocco</t>
  </si>
  <si>
    <t>Sudan</t>
  </si>
  <si>
    <t>Haiti</t>
  </si>
  <si>
    <t>Taiwan</t>
  </si>
  <si>
    <t>Qatar</t>
  </si>
  <si>
    <t>Lesotho</t>
  </si>
  <si>
    <t>Finland</t>
  </si>
  <si>
    <t>Georgia</t>
  </si>
  <si>
    <t>Singapore</t>
  </si>
  <si>
    <t>Democratic Republic of the Congo</t>
  </si>
  <si>
    <t>Honduras</t>
  </si>
  <si>
    <t>Turkey</t>
  </si>
  <si>
    <t>France</t>
  </si>
  <si>
    <t>Philippines</t>
  </si>
  <si>
    <t>Vanuatu</t>
  </si>
  <si>
    <t>Cuba</t>
  </si>
  <si>
    <t xml:space="preserve">Seychelles </t>
  </si>
  <si>
    <t>South Korea</t>
  </si>
  <si>
    <t>North Korea</t>
  </si>
  <si>
    <t>Indonesia</t>
  </si>
  <si>
    <t>Oman</t>
  </si>
  <si>
    <t>Republic of the Congo</t>
  </si>
  <si>
    <t>United Arab Emirates</t>
  </si>
  <si>
    <t>Guatemala</t>
  </si>
  <si>
    <t>Belgium</t>
  </si>
  <si>
    <t>Egypt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</si>
</sst>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&quot;#,##0.00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4" fontId="1" fillId="0" borderId="5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6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/>
    </xf>
    <xf numFmtId="2" fontId="2" fillId="2" borderId="3" xfId="0" applyNumberFormat="1" applyFont="1" applyFill="1" applyBorder="1" applyAlignment="1">
      <alignment horizontal="center" vertical="center"/>
    </xf>
    <xf numFmtId="14" fontId="1" fillId="0" borderId="8" xfId="0" applyNumberFormat="1" applyFont="1" applyBorder="1" applyAlignment="1">
      <alignment horizontal="center" vertical="center"/>
    </xf>
    <xf numFmtId="2" fontId="1" fillId="0" borderId="8" xfId="0" applyNumberFormat="1" applyFont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 vertical="center"/>
    </xf>
  </cellXfs>
  <cellStyles count="1">
    <cellStyle name="Normal" xfId="0" builtinId="0"/>
  </cellStyles>
  <dxfs count="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2" formatCode="0.00"/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2" formatCode="0.00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numFmt numFmtId="164" formatCode="&quot;R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050667-7831-420B-8443-417CBE5D7804}" name="FlavorTable" displayName="FlavorTable" ref="F2:H19" totalsRowShown="0" headerRowDxfId="58" dataDxfId="56" headerRowBorderDxfId="57" tableBorderDxfId="55" totalsRowBorderDxfId="54">
  <autoFilter ref="F2:H19" xr:uid="{CE050667-7831-420B-8443-417CBE5D7804}"/>
  <tableColumns count="3">
    <tableColumn id="1" xr3:uid="{023B082A-729D-4BEC-9110-007FFD2A7D9D}" name="Main Option" dataDxfId="53"/>
    <tableColumn id="2" xr3:uid="{3F16498D-591B-4462-B157-D137FA2B4ADC}" name="Flavours" dataDxfId="52"/>
    <tableColumn id="3" xr3:uid="{DA1BC75E-9B81-4C3C-A08C-C7A19EC6AC6E}" name="Price per person" dataDxfId="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ACC35A-F894-4B7A-A0C7-8995EED63BE1}" name="FillerTestTable" displayName="FillerTestTable" ref="E3:G20" totalsRowShown="0" headerRowDxfId="50" dataDxfId="48" headerRowBorderDxfId="49" tableBorderDxfId="47" totalsRowBorderDxfId="46">
  <autoFilter ref="E3:G20" xr:uid="{DAACC35A-F894-4B7A-A0C7-8995EED63BE1}">
    <filterColumn colId="0" hiddenButton="1"/>
    <filterColumn colId="1" hiddenButton="1"/>
    <filterColumn colId="2" hiddenButton="1"/>
  </autoFilter>
  <tableColumns count="3">
    <tableColumn id="1" xr3:uid="{53AE0734-7221-4BF3-A1C8-B3166B80760E}" name="Main Option" dataDxfId="45"/>
    <tableColumn id="2" xr3:uid="{8C16B5A7-654A-4B12-9B90-5F65FB879088}" name="Flavours" dataDxfId="44"/>
    <tableColumn id="3" xr3:uid="{11B03AD6-455C-4FD5-BF59-8DF046ED7810}" name="Price per person" dataDxfId="4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5BEF821-B9A0-43CB-9A8F-DEDAFE6D7BC0}" name="ForFillUpTable" displayName="ForFillUpTable" ref="J3:L20" totalsRowShown="0" headerRowDxfId="42" dataDxfId="40" headerRowBorderDxfId="41" tableBorderDxfId="39" totalsRowBorderDxfId="38">
  <autoFilter ref="J3:L20" xr:uid="{95BEF821-B9A0-43CB-9A8F-DEDAFE6D7BC0}">
    <filterColumn colId="0" hiddenButton="1"/>
    <filterColumn colId="1" hiddenButton="1"/>
    <filterColumn colId="2" hiddenButton="1"/>
  </autoFilter>
  <tableColumns count="3">
    <tableColumn id="1" xr3:uid="{AF53A8F0-B509-4C22-9175-F87D4197E401}" name="Main Option" dataDxfId="37"/>
    <tableColumn id="2" xr3:uid="{A8F560A9-9A35-4A56-A04F-F80BB292B8B6}" name="Flavours" dataDxfId="36"/>
    <tableColumn id="3" xr3:uid="{9624E852-E97E-4685-8D80-13F38B575D5F}" name="Price per person" dataDxfId="3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A5820EC-214F-4E84-A9B1-1DCE6AE3F260}" name="FillerTestTable7" displayName="FillerTestTable7" ref="E3:G20" totalsRowShown="0" headerRowDxfId="34" dataDxfId="32" headerRowBorderDxfId="33" tableBorderDxfId="31" totalsRowBorderDxfId="30">
  <autoFilter ref="E3:G20" xr:uid="{DAACC35A-F894-4B7A-A0C7-8995EED63BE1}">
    <filterColumn colId="0" hiddenButton="1"/>
    <filterColumn colId="1" hiddenButton="1"/>
    <filterColumn colId="2" hiddenButton="1"/>
  </autoFilter>
  <tableColumns count="3">
    <tableColumn id="1" xr3:uid="{C0BC7E87-7723-42EE-B712-F2A67BAF2F55}" name="Main Option" dataDxfId="29"/>
    <tableColumn id="2" xr3:uid="{5ABEE893-18A1-49A3-B0B3-7E90FFF034D8}" name="Flavours" dataDxfId="28"/>
    <tableColumn id="3" xr3:uid="{91E58425-16D8-44D7-A4A1-0F495B66ACAD}" name="Price per person" dataDxfId="2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122346C-56B0-4075-BBC4-6E0A12A1E1E6}" name="ForFillUpTable8" displayName="ForFillUpTable8" ref="J3:L20" totalsRowShown="0" headerRowDxfId="26" dataDxfId="24" headerRowBorderDxfId="25" tableBorderDxfId="23" totalsRowBorderDxfId="22">
  <autoFilter ref="J3:L20" xr:uid="{95BEF821-B9A0-43CB-9A8F-DEDAFE6D7BC0}">
    <filterColumn colId="0" hiddenButton="1"/>
    <filterColumn colId="1" hiddenButton="1"/>
    <filterColumn colId="2" hiddenButton="1"/>
  </autoFilter>
  <tableColumns count="3">
    <tableColumn id="1" xr3:uid="{8B3CF03C-B4D5-4C23-B137-245E9C578FE3}" name="Main Option" dataDxfId="21"/>
    <tableColumn id="2" xr3:uid="{38F8F983-D5A0-469B-8AB0-7E9CE611F187}" name="Flavours" dataDxfId="20"/>
    <tableColumn id="3" xr3:uid="{DB51A5DD-9341-4249-B927-B8A460172FCF}" name="Price per person" dataDxfId="1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ECB57B6-E2EE-44C9-A9AB-0D61E5661AAE}" name="PersonTable" displayName="PersonTable" ref="F4:G5" insertRow="1" totalsRowShown="0">
  <autoFilter ref="F4:G5" xr:uid="{3ECB57B6-E2EE-44C9-A9AB-0D61E5661AAE}"/>
  <tableColumns count="2">
    <tableColumn id="1" xr3:uid="{09C4AE91-9B69-4C41-B04B-B7A442A2F88A}" name="Name"/>
    <tableColumn id="2" xr3:uid="{69B5237E-8C58-42DB-8BDB-BCF336487F1F}" name="Ag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568C97-C63F-406D-8B13-0DB8CF32E8AB}" name="SalesDataTable" displayName="SalesDataTable" ref="B2:O1300" totalsRowShown="0" headerRowDxfId="18" dataDxfId="16" headerRowBorderDxfId="17" tableBorderDxfId="15" totalsRowBorderDxfId="14">
  <autoFilter ref="B2:O1300" xr:uid="{76568C97-C63F-406D-8B13-0DB8CF32E8AB}">
    <filterColumn colId="5">
      <filters>
        <dateGroupItem year="2020" dateTimeGrouping="year"/>
      </filters>
    </filterColumn>
    <filterColumn colId="10">
      <customFilters>
        <customFilter operator="greaterThan" val="100"/>
      </customFilters>
    </filterColumn>
  </autoFilter>
  <tableColumns count="14">
    <tableColumn id="1" xr3:uid="{C49DCFD9-F9E4-4A32-A762-D97A3C814628}" name="Region" dataDxfId="13"/>
    <tableColumn id="2" xr3:uid="{09C1633E-FE75-4820-AD96-86809E9E8CDA}" name="Country" dataDxfId="12"/>
    <tableColumn id="3" xr3:uid="{13D5F2D4-E440-46C8-B41D-75321630161D}" name="Item Type" dataDxfId="11"/>
    <tableColumn id="4" xr3:uid="{6AE1E942-B77B-49DD-A5E7-2F8D27D5BF2C}" name="Sales Channel" dataDxfId="10"/>
    <tableColumn id="5" xr3:uid="{F751AC28-FACE-4631-AEFC-6D73B3D01122}" name="Order Priority" dataDxfId="9"/>
    <tableColumn id="6" xr3:uid="{01B559B4-E4A7-4BD2-B8D7-6E323E49AA9E}" name="Order Date" dataDxfId="8"/>
    <tableColumn id="7" xr3:uid="{D45F3861-3B72-443E-BD44-78478E8A800F}" name="Order ID" dataDxfId="7"/>
    <tableColumn id="8" xr3:uid="{C9D8CA5B-BEC9-4478-B4DA-8497217D1B2D}" name="Ship Date" dataDxfId="6"/>
    <tableColumn id="9" xr3:uid="{5ECC8C77-1C7D-4A51-9E24-933C84CBCF50}" name="Units Sold" dataDxfId="5"/>
    <tableColumn id="10" xr3:uid="{18555A4E-7376-4667-866A-6339C3F51E0B}" name="Unit Price" dataDxfId="4"/>
    <tableColumn id="11" xr3:uid="{F27B294C-AE21-457E-BC98-177D763317F7}" name="Unit Cost" dataDxfId="3"/>
    <tableColumn id="12" xr3:uid="{6B2D5017-0EB1-4356-800A-1B50690AFB8D}" name="Total Revenue" dataDxfId="2"/>
    <tableColumn id="13" xr3:uid="{26D454F2-FEC7-4279-B9C0-23DF3979F3F3}" name="Total Cost" dataDxfId="1"/>
    <tableColumn id="14" xr3:uid="{4CDA3CFD-9A31-4CD0-ABBF-66D991E97E07}" name="Total Profi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F2:M19"/>
  <sheetViews>
    <sheetView showGridLines="0" topLeftCell="G1" workbookViewId="0">
      <selection activeCell="M3" sqref="M3:M14"/>
    </sheetView>
  </sheetViews>
  <sheetFormatPr defaultRowHeight="15" x14ac:dyDescent="0.25"/>
  <cols>
    <col min="6" max="6" width="20.85546875" bestFit="1" customWidth="1"/>
    <col min="7" max="7" width="43.42578125" bestFit="1" customWidth="1"/>
    <col min="8" max="8" width="25.42578125" bestFit="1" customWidth="1"/>
    <col min="12" max="12" width="29.85546875" bestFit="1" customWidth="1"/>
    <col min="13" max="13" width="43.42578125" bestFit="1" customWidth="1"/>
  </cols>
  <sheetData>
    <row r="2" spans="6:13" ht="18.75" x14ac:dyDescent="0.25">
      <c r="F2" s="1" t="s">
        <v>0</v>
      </c>
      <c r="G2" s="2" t="s">
        <v>1</v>
      </c>
      <c r="H2" s="3" t="s">
        <v>2</v>
      </c>
    </row>
    <row r="3" spans="6:13" ht="18.75" x14ac:dyDescent="0.25">
      <c r="F3" s="4" t="s">
        <v>3</v>
      </c>
      <c r="G3" s="5" t="s">
        <v>4</v>
      </c>
      <c r="H3" s="6">
        <v>25</v>
      </c>
      <c r="L3" t="s">
        <v>25</v>
      </c>
      <c r="M3" t="str">
        <f>"Case Operator." &amp; L3</f>
        <v xml:space="preserve">Case Operator.Equal </v>
      </c>
    </row>
    <row r="4" spans="6:13" ht="18.75" x14ac:dyDescent="0.25">
      <c r="F4" s="4" t="s">
        <v>3</v>
      </c>
      <c r="G4" s="5" t="s">
        <v>5</v>
      </c>
      <c r="H4" s="6">
        <v>25</v>
      </c>
      <c r="L4" t="s">
        <v>26</v>
      </c>
      <c r="M4" t="str">
        <f t="shared" ref="M4:M14" si="0">"Case Operator." &amp; L4</f>
        <v xml:space="preserve">Case Operator.DOES_NOT_EQUAL </v>
      </c>
    </row>
    <row r="5" spans="6:13" ht="18.75" x14ac:dyDescent="0.25">
      <c r="F5" s="4" t="s">
        <v>6</v>
      </c>
      <c r="G5" s="5" t="s">
        <v>7</v>
      </c>
      <c r="H5" s="6">
        <v>35</v>
      </c>
      <c r="L5" t="s">
        <v>27</v>
      </c>
      <c r="M5" t="str">
        <f t="shared" si="0"/>
        <v xml:space="preserve">Case Operator.GREATER_THAN </v>
      </c>
    </row>
    <row r="6" spans="6:13" ht="18.75" x14ac:dyDescent="0.25">
      <c r="F6" s="4" t="s">
        <v>6</v>
      </c>
      <c r="G6" s="5" t="s">
        <v>8</v>
      </c>
      <c r="H6" s="6">
        <v>35</v>
      </c>
      <c r="L6" t="s">
        <v>28</v>
      </c>
      <c r="M6" t="str">
        <f t="shared" si="0"/>
        <v xml:space="preserve">Case Operator.GREATER_THAN_OR_EQUAL_TO </v>
      </c>
    </row>
    <row r="7" spans="6:13" ht="18.75" x14ac:dyDescent="0.25">
      <c r="F7" s="4" t="s">
        <v>6</v>
      </c>
      <c r="G7" s="5" t="s">
        <v>9</v>
      </c>
      <c r="H7" s="6">
        <v>35</v>
      </c>
      <c r="L7" t="s">
        <v>29</v>
      </c>
      <c r="M7" t="str">
        <f t="shared" si="0"/>
        <v xml:space="preserve">Case Operator.LESS_THAN </v>
      </c>
    </row>
    <row r="8" spans="6:13" ht="18.75" x14ac:dyDescent="0.25">
      <c r="F8" s="4" t="s">
        <v>6</v>
      </c>
      <c r="G8" s="5" t="s">
        <v>10</v>
      </c>
      <c r="H8" s="6">
        <v>35</v>
      </c>
      <c r="L8" t="s">
        <v>30</v>
      </c>
      <c r="M8" t="str">
        <f t="shared" si="0"/>
        <v xml:space="preserve">Case Operator.LESS_THAN_OR_EQUAL_TO </v>
      </c>
    </row>
    <row r="9" spans="6:13" ht="18.75" x14ac:dyDescent="0.25">
      <c r="F9" s="4" t="s">
        <v>6</v>
      </c>
      <c r="G9" s="5" t="s">
        <v>11</v>
      </c>
      <c r="H9" s="6">
        <v>35</v>
      </c>
      <c r="L9" t="s">
        <v>31</v>
      </c>
      <c r="M9" t="str">
        <f t="shared" si="0"/>
        <v xml:space="preserve">Case Operator.CONTAINS </v>
      </c>
    </row>
    <row r="10" spans="6:13" ht="18.75" x14ac:dyDescent="0.25">
      <c r="F10" s="4" t="s">
        <v>6</v>
      </c>
      <c r="G10" s="5" t="s">
        <v>12</v>
      </c>
      <c r="H10" s="6">
        <v>35</v>
      </c>
      <c r="L10" t="s">
        <v>32</v>
      </c>
      <c r="M10" t="str">
        <f t="shared" si="0"/>
        <v xml:space="preserve">Case Operator.DOES_NOT_CONTAINS </v>
      </c>
    </row>
    <row r="11" spans="6:13" ht="18.75" x14ac:dyDescent="0.25">
      <c r="F11" s="4" t="s">
        <v>6</v>
      </c>
      <c r="G11" s="5" t="s">
        <v>13</v>
      </c>
      <c r="H11" s="6">
        <v>35</v>
      </c>
      <c r="L11" t="s">
        <v>33</v>
      </c>
      <c r="M11" t="str">
        <f t="shared" si="0"/>
        <v xml:space="preserve">Case Operator.STARTS_WITH </v>
      </c>
    </row>
    <row r="12" spans="6:13" ht="18.75" x14ac:dyDescent="0.25">
      <c r="F12" s="4" t="s">
        <v>6</v>
      </c>
      <c r="G12" s="5" t="s">
        <v>14</v>
      </c>
      <c r="H12" s="6">
        <v>35</v>
      </c>
      <c r="L12" t="s">
        <v>34</v>
      </c>
      <c r="M12" t="str">
        <f t="shared" si="0"/>
        <v xml:space="preserve">Case Operator.ENDS_WITH </v>
      </c>
    </row>
    <row r="13" spans="6:13" ht="18.75" x14ac:dyDescent="0.25">
      <c r="F13" s="4" t="s">
        <v>6</v>
      </c>
      <c r="G13" s="5" t="s">
        <v>15</v>
      </c>
      <c r="H13" s="6">
        <v>35</v>
      </c>
      <c r="L13" t="s">
        <v>35</v>
      </c>
      <c r="M13" t="str">
        <f t="shared" si="0"/>
        <v xml:space="preserve">Case Operator.IN_BETWEEN </v>
      </c>
    </row>
    <row r="14" spans="6:13" ht="18.75" x14ac:dyDescent="0.25">
      <c r="F14" s="4" t="s">
        <v>16</v>
      </c>
      <c r="G14" s="5" t="s">
        <v>17</v>
      </c>
      <c r="H14" s="6">
        <v>30</v>
      </c>
      <c r="L14" t="s">
        <v>36</v>
      </c>
      <c r="M14" t="str">
        <f t="shared" si="0"/>
        <v xml:space="preserve">Case Operator.NOT_IN_BETWEEN </v>
      </c>
    </row>
    <row r="15" spans="6:13" ht="18.75" x14ac:dyDescent="0.25">
      <c r="F15" s="4" t="s">
        <v>16</v>
      </c>
      <c r="G15" s="5" t="s">
        <v>18</v>
      </c>
      <c r="H15" s="6">
        <v>30</v>
      </c>
    </row>
    <row r="16" spans="6:13" ht="18.75" x14ac:dyDescent="0.25">
      <c r="F16" s="4" t="s">
        <v>16</v>
      </c>
      <c r="G16" s="5" t="s">
        <v>19</v>
      </c>
      <c r="H16" s="6">
        <v>30</v>
      </c>
    </row>
    <row r="17" spans="6:8" ht="18.75" x14ac:dyDescent="0.25">
      <c r="F17" s="4" t="s">
        <v>16</v>
      </c>
      <c r="G17" s="5" t="s">
        <v>20</v>
      </c>
      <c r="H17" s="6">
        <v>30</v>
      </c>
    </row>
    <row r="18" spans="6:8" ht="18.75" x14ac:dyDescent="0.25">
      <c r="F18" s="4" t="s">
        <v>16</v>
      </c>
      <c r="G18" s="5" t="s">
        <v>21</v>
      </c>
      <c r="H18" s="6">
        <v>30</v>
      </c>
    </row>
    <row r="19" spans="6:8" ht="18.75" x14ac:dyDescent="0.25">
      <c r="F19" s="7" t="s">
        <v>16</v>
      </c>
      <c r="G19" s="8" t="s">
        <v>22</v>
      </c>
      <c r="H19" s="9">
        <v>30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EFCBD-EA11-4163-AF84-30C310063912}">
  <sheetPr codeName="Sheet2"/>
  <dimension ref="E3:L20"/>
  <sheetViews>
    <sheetView showGridLines="0" workbookViewId="0">
      <selection activeCell="E4" sqref="E4:G20"/>
    </sheetView>
  </sheetViews>
  <sheetFormatPr defaultRowHeight="15" x14ac:dyDescent="0.25"/>
  <cols>
    <col min="5" max="5" width="20.85546875" bestFit="1" customWidth="1"/>
    <col min="6" max="6" width="43.42578125" bestFit="1" customWidth="1"/>
    <col min="7" max="7" width="25.42578125" bestFit="1" customWidth="1"/>
    <col min="10" max="10" width="20.85546875" bestFit="1" customWidth="1"/>
    <col min="11" max="11" width="43.42578125" bestFit="1" customWidth="1"/>
    <col min="12" max="12" width="25.42578125" bestFit="1" customWidth="1"/>
  </cols>
  <sheetData>
    <row r="3" spans="5:12" ht="18.75" x14ac:dyDescent="0.25">
      <c r="E3" s="1" t="s">
        <v>0</v>
      </c>
      <c r="F3" s="10" t="s">
        <v>1</v>
      </c>
      <c r="G3" s="11" t="s">
        <v>2</v>
      </c>
      <c r="J3" s="1" t="s">
        <v>0</v>
      </c>
      <c r="K3" s="10" t="s">
        <v>1</v>
      </c>
      <c r="L3" s="11" t="s">
        <v>2</v>
      </c>
    </row>
    <row r="4" spans="5:12" ht="18.75" x14ac:dyDescent="0.25">
      <c r="E4" s="4" t="s">
        <v>3</v>
      </c>
      <c r="F4" s="5" t="s">
        <v>4</v>
      </c>
      <c r="G4" s="12">
        <v>25</v>
      </c>
      <c r="J4" s="1"/>
      <c r="K4" s="5" t="s">
        <v>4</v>
      </c>
      <c r="L4" s="11">
        <v>25</v>
      </c>
    </row>
    <row r="5" spans="5:12" ht="18.75" x14ac:dyDescent="0.25">
      <c r="E5" s="4"/>
      <c r="F5" s="5" t="s">
        <v>5</v>
      </c>
      <c r="G5" s="12"/>
      <c r="J5" s="4" t="s">
        <v>3</v>
      </c>
      <c r="K5" s="5" t="s">
        <v>5</v>
      </c>
      <c r="L5" s="12">
        <v>25</v>
      </c>
    </row>
    <row r="6" spans="5:12" ht="18.75" x14ac:dyDescent="0.25">
      <c r="E6" s="4" t="s">
        <v>6</v>
      </c>
      <c r="F6" s="5" t="s">
        <v>7</v>
      </c>
      <c r="G6" s="12">
        <v>35</v>
      </c>
      <c r="J6" s="4"/>
      <c r="K6" s="5" t="s">
        <v>7</v>
      </c>
      <c r="L6" s="12"/>
    </row>
    <row r="7" spans="5:12" ht="18.75" x14ac:dyDescent="0.25">
      <c r="E7" s="4"/>
      <c r="F7" s="5" t="s">
        <v>8</v>
      </c>
      <c r="G7" s="12"/>
      <c r="J7" s="4"/>
      <c r="K7" s="5" t="s">
        <v>8</v>
      </c>
      <c r="L7" s="12"/>
    </row>
    <row r="8" spans="5:12" ht="18.75" x14ac:dyDescent="0.25">
      <c r="E8" s="4"/>
      <c r="F8" s="5" t="s">
        <v>9</v>
      </c>
      <c r="G8" s="12"/>
      <c r="J8" s="4"/>
      <c r="K8" s="5" t="s">
        <v>9</v>
      </c>
      <c r="L8" s="12"/>
    </row>
    <row r="9" spans="5:12" ht="18.75" x14ac:dyDescent="0.25">
      <c r="E9" s="4"/>
      <c r="F9" s="5" t="s">
        <v>10</v>
      </c>
      <c r="G9" s="12"/>
      <c r="J9" s="4"/>
      <c r="K9" s="5" t="s">
        <v>10</v>
      </c>
      <c r="L9" s="12"/>
    </row>
    <row r="10" spans="5:12" ht="18.75" x14ac:dyDescent="0.25">
      <c r="E10" s="4"/>
      <c r="F10" s="5" t="s">
        <v>11</v>
      </c>
      <c r="G10" s="12"/>
      <c r="J10" s="4"/>
      <c r="K10" s="5" t="s">
        <v>11</v>
      </c>
      <c r="L10" s="12"/>
    </row>
    <row r="11" spans="5:12" ht="18.75" x14ac:dyDescent="0.25">
      <c r="E11" s="4"/>
      <c r="F11" s="5" t="s">
        <v>12</v>
      </c>
      <c r="G11" s="12"/>
      <c r="J11" s="4"/>
      <c r="K11" s="5" t="s">
        <v>12</v>
      </c>
      <c r="L11" s="12"/>
    </row>
    <row r="12" spans="5:12" ht="18.75" x14ac:dyDescent="0.25">
      <c r="E12" s="4"/>
      <c r="F12" s="5" t="s">
        <v>13</v>
      </c>
      <c r="G12" s="12"/>
      <c r="J12" s="4"/>
      <c r="K12" s="5" t="s">
        <v>13</v>
      </c>
      <c r="L12" s="12"/>
    </row>
    <row r="13" spans="5:12" ht="18.75" x14ac:dyDescent="0.25">
      <c r="E13" s="4"/>
      <c r="F13" s="5" t="s">
        <v>14</v>
      </c>
      <c r="G13" s="12"/>
      <c r="J13" s="4"/>
      <c r="K13" s="5" t="s">
        <v>14</v>
      </c>
      <c r="L13" s="12"/>
    </row>
    <row r="14" spans="5:12" ht="18.75" x14ac:dyDescent="0.25">
      <c r="E14" s="4"/>
      <c r="F14" s="5" t="s">
        <v>15</v>
      </c>
      <c r="G14" s="12"/>
      <c r="J14" s="4" t="s">
        <v>6</v>
      </c>
      <c r="K14" s="5" t="s">
        <v>15</v>
      </c>
      <c r="L14" s="12">
        <v>35</v>
      </c>
    </row>
    <row r="15" spans="5:12" ht="18.75" x14ac:dyDescent="0.25">
      <c r="E15" s="4" t="s">
        <v>16</v>
      </c>
      <c r="F15" s="5" t="s">
        <v>17</v>
      </c>
      <c r="G15" s="12">
        <v>30</v>
      </c>
      <c r="J15" s="4"/>
      <c r="K15" s="5" t="s">
        <v>17</v>
      </c>
      <c r="L15" s="12"/>
    </row>
    <row r="16" spans="5:12" ht="18.75" x14ac:dyDescent="0.25">
      <c r="E16" s="4"/>
      <c r="F16" s="5" t="s">
        <v>18</v>
      </c>
      <c r="G16" s="12"/>
      <c r="J16" s="4"/>
      <c r="K16" s="5" t="s">
        <v>18</v>
      </c>
      <c r="L16" s="12"/>
    </row>
    <row r="17" spans="5:12" ht="18.75" x14ac:dyDescent="0.25">
      <c r="E17" s="4"/>
      <c r="F17" s="5" t="s">
        <v>19</v>
      </c>
      <c r="G17" s="12"/>
      <c r="J17" s="4"/>
      <c r="K17" s="5" t="s">
        <v>19</v>
      </c>
      <c r="L17" s="12"/>
    </row>
    <row r="18" spans="5:12" ht="18.75" x14ac:dyDescent="0.25">
      <c r="E18" s="4"/>
      <c r="F18" s="5" t="s">
        <v>20</v>
      </c>
      <c r="G18" s="12"/>
      <c r="J18" s="4"/>
      <c r="K18" s="5" t="s">
        <v>20</v>
      </c>
      <c r="L18" s="12"/>
    </row>
    <row r="19" spans="5:12" ht="18.75" x14ac:dyDescent="0.25">
      <c r="E19" s="4"/>
      <c r="F19" s="5" t="s">
        <v>21</v>
      </c>
      <c r="G19" s="12"/>
      <c r="J19" s="4"/>
      <c r="K19" s="5" t="s">
        <v>21</v>
      </c>
      <c r="L19" s="12"/>
    </row>
    <row r="20" spans="5:12" ht="18.75" x14ac:dyDescent="0.25">
      <c r="E20" s="7"/>
      <c r="F20" s="8" t="s">
        <v>22</v>
      </c>
      <c r="G20" s="13"/>
      <c r="J20" s="4" t="s">
        <v>16</v>
      </c>
      <c r="K20" s="8" t="s">
        <v>22</v>
      </c>
      <c r="L20" s="12">
        <v>30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B06E4-42B6-442E-91C7-EF32D48D2236}">
  <sheetPr codeName="Sheet3"/>
  <dimension ref="E3:P20"/>
  <sheetViews>
    <sheetView showGridLines="0" topLeftCell="H1" workbookViewId="0">
      <selection activeCell="J5" sqref="J5"/>
    </sheetView>
  </sheetViews>
  <sheetFormatPr defaultRowHeight="15" x14ac:dyDescent="0.25"/>
  <cols>
    <col min="5" max="5" width="20.85546875" bestFit="1" customWidth="1"/>
    <col min="6" max="6" width="43.42578125" bestFit="1" customWidth="1"/>
    <col min="7" max="7" width="25.42578125" bestFit="1" customWidth="1"/>
    <col min="10" max="10" width="20.85546875" bestFit="1" customWidth="1"/>
    <col min="11" max="11" width="43.42578125" bestFit="1" customWidth="1"/>
    <col min="12" max="12" width="25.42578125" bestFit="1" customWidth="1"/>
    <col min="14" max="14" width="15.7109375" bestFit="1" customWidth="1"/>
    <col min="15" max="15" width="35.5703125" bestFit="1" customWidth="1"/>
    <col min="16" max="16" width="3" bestFit="1" customWidth="1"/>
  </cols>
  <sheetData>
    <row r="3" spans="5:16" ht="18.75" x14ac:dyDescent="0.25">
      <c r="E3" s="1" t="s">
        <v>0</v>
      </c>
      <c r="F3" s="10" t="s">
        <v>1</v>
      </c>
      <c r="G3" s="11" t="s">
        <v>2</v>
      </c>
      <c r="J3" s="1" t="s">
        <v>0</v>
      </c>
      <c r="K3" s="10" t="s">
        <v>1</v>
      </c>
      <c r="L3" s="11" t="s">
        <v>2</v>
      </c>
      <c r="N3" t="s">
        <v>3</v>
      </c>
      <c r="O3" t="s">
        <v>4</v>
      </c>
      <c r="P3">
        <v>25</v>
      </c>
    </row>
    <row r="4" spans="5:16" ht="18.75" x14ac:dyDescent="0.25">
      <c r="E4" s="4" t="s">
        <v>3</v>
      </c>
      <c r="F4" s="5" t="s">
        <v>4</v>
      </c>
      <c r="G4" s="12">
        <v>25</v>
      </c>
      <c r="J4" s="1" t="s">
        <v>3</v>
      </c>
      <c r="K4" s="5" t="s">
        <v>4</v>
      </c>
      <c r="L4" s="11">
        <v>25</v>
      </c>
      <c r="O4" t="s">
        <v>5</v>
      </c>
    </row>
    <row r="5" spans="5:16" ht="18.75" x14ac:dyDescent="0.25">
      <c r="E5" s="4" t="s">
        <v>3</v>
      </c>
      <c r="F5" s="5" t="s">
        <v>5</v>
      </c>
      <c r="G5" s="12">
        <v>25</v>
      </c>
      <c r="J5" s="4" t="s">
        <v>3</v>
      </c>
      <c r="K5" s="5" t="s">
        <v>5</v>
      </c>
      <c r="L5" s="12">
        <v>25</v>
      </c>
      <c r="N5" t="s">
        <v>6</v>
      </c>
      <c r="O5" t="s">
        <v>7</v>
      </c>
      <c r="P5">
        <v>35</v>
      </c>
    </row>
    <row r="6" spans="5:16" ht="18.75" x14ac:dyDescent="0.25">
      <c r="E6" s="4" t="s">
        <v>6</v>
      </c>
      <c r="F6" s="5" t="s">
        <v>7</v>
      </c>
      <c r="G6" s="12">
        <v>35</v>
      </c>
      <c r="J6" s="4" t="s">
        <v>6</v>
      </c>
      <c r="K6" s="5" t="s">
        <v>7</v>
      </c>
      <c r="L6" s="12">
        <v>35</v>
      </c>
      <c r="O6" t="s">
        <v>8</v>
      </c>
    </row>
    <row r="7" spans="5:16" ht="18.75" x14ac:dyDescent="0.25">
      <c r="E7" s="4" t="s">
        <v>6</v>
      </c>
      <c r="F7" s="5" t="s">
        <v>8</v>
      </c>
      <c r="G7" s="12">
        <v>35</v>
      </c>
      <c r="J7" s="4" t="s">
        <v>6</v>
      </c>
      <c r="K7" s="5" t="s">
        <v>8</v>
      </c>
      <c r="L7" s="12">
        <v>35</v>
      </c>
      <c r="O7" t="s">
        <v>9</v>
      </c>
    </row>
    <row r="8" spans="5:16" ht="18.75" x14ac:dyDescent="0.25">
      <c r="E8" s="4" t="s">
        <v>6</v>
      </c>
      <c r="F8" s="5" t="s">
        <v>9</v>
      </c>
      <c r="G8" s="12">
        <v>35</v>
      </c>
      <c r="J8" s="4" t="s">
        <v>6</v>
      </c>
      <c r="K8" s="5" t="s">
        <v>9</v>
      </c>
      <c r="L8" s="12">
        <v>35</v>
      </c>
      <c r="O8" t="s">
        <v>10</v>
      </c>
    </row>
    <row r="9" spans="5:16" ht="18.75" x14ac:dyDescent="0.25">
      <c r="E9" s="4" t="s">
        <v>6</v>
      </c>
      <c r="F9" s="5" t="s">
        <v>10</v>
      </c>
      <c r="G9" s="12">
        <v>35</v>
      </c>
      <c r="J9" s="4" t="s">
        <v>6</v>
      </c>
      <c r="K9" s="5" t="s">
        <v>10</v>
      </c>
      <c r="L9" s="12">
        <v>35</v>
      </c>
      <c r="O9" t="s">
        <v>11</v>
      </c>
    </row>
    <row r="10" spans="5:16" ht="18.75" x14ac:dyDescent="0.25">
      <c r="E10" s="4" t="s">
        <v>6</v>
      </c>
      <c r="F10" s="5" t="s">
        <v>11</v>
      </c>
      <c r="G10" s="12">
        <v>35</v>
      </c>
      <c r="J10" s="4" t="s">
        <v>6</v>
      </c>
      <c r="K10" s="5" t="s">
        <v>11</v>
      </c>
      <c r="L10" s="12">
        <v>35</v>
      </c>
      <c r="O10" t="s">
        <v>12</v>
      </c>
    </row>
    <row r="11" spans="5:16" ht="18.75" x14ac:dyDescent="0.25">
      <c r="E11" s="4" t="s">
        <v>6</v>
      </c>
      <c r="F11" s="5" t="s">
        <v>12</v>
      </c>
      <c r="G11" s="12">
        <v>35</v>
      </c>
      <c r="J11" s="4" t="s">
        <v>6</v>
      </c>
      <c r="K11" s="5" t="s">
        <v>12</v>
      </c>
      <c r="L11" s="12">
        <v>35</v>
      </c>
      <c r="O11" t="s">
        <v>13</v>
      </c>
    </row>
    <row r="12" spans="5:16" ht="18.75" x14ac:dyDescent="0.25">
      <c r="E12" s="4" t="s">
        <v>6</v>
      </c>
      <c r="F12" s="5" t="s">
        <v>13</v>
      </c>
      <c r="G12" s="12">
        <v>35</v>
      </c>
      <c r="J12" s="4" t="s">
        <v>6</v>
      </c>
      <c r="K12" s="5" t="s">
        <v>13</v>
      </c>
      <c r="L12" s="12">
        <v>35</v>
      </c>
      <c r="O12" t="s">
        <v>14</v>
      </c>
    </row>
    <row r="13" spans="5:16" ht="18.75" x14ac:dyDescent="0.25">
      <c r="E13" s="4" t="s">
        <v>6</v>
      </c>
      <c r="F13" s="5" t="s">
        <v>14</v>
      </c>
      <c r="G13" s="12">
        <v>35</v>
      </c>
      <c r="J13" s="4" t="s">
        <v>6</v>
      </c>
      <c r="K13" s="5" t="s">
        <v>14</v>
      </c>
      <c r="L13" s="12">
        <v>35</v>
      </c>
      <c r="O13" t="s">
        <v>15</v>
      </c>
    </row>
    <row r="14" spans="5:16" ht="18.75" x14ac:dyDescent="0.25">
      <c r="E14" s="4" t="s">
        <v>6</v>
      </c>
      <c r="F14" s="5" t="s">
        <v>15</v>
      </c>
      <c r="G14" s="12">
        <v>35</v>
      </c>
      <c r="J14" s="4" t="s">
        <v>6</v>
      </c>
      <c r="K14" s="5" t="s">
        <v>15</v>
      </c>
      <c r="L14" s="12">
        <v>35</v>
      </c>
      <c r="N14" t="s">
        <v>16</v>
      </c>
      <c r="O14" t="s">
        <v>17</v>
      </c>
      <c r="P14">
        <v>30</v>
      </c>
    </row>
    <row r="15" spans="5:16" ht="18.75" x14ac:dyDescent="0.25">
      <c r="E15" s="4" t="s">
        <v>16</v>
      </c>
      <c r="F15" s="5" t="s">
        <v>17</v>
      </c>
      <c r="G15" s="12">
        <v>30</v>
      </c>
      <c r="J15" s="4" t="s">
        <v>16</v>
      </c>
      <c r="K15" s="5" t="s">
        <v>17</v>
      </c>
      <c r="L15" s="12">
        <v>30</v>
      </c>
      <c r="O15" t="s">
        <v>18</v>
      </c>
    </row>
    <row r="16" spans="5:16" ht="18.75" x14ac:dyDescent="0.25">
      <c r="E16" s="4" t="s">
        <v>16</v>
      </c>
      <c r="F16" s="5" t="s">
        <v>18</v>
      </c>
      <c r="G16" s="12">
        <v>30</v>
      </c>
      <c r="J16" s="4" t="s">
        <v>16</v>
      </c>
      <c r="K16" s="5" t="s">
        <v>18</v>
      </c>
      <c r="L16" s="12">
        <v>30</v>
      </c>
      <c r="O16" t="s">
        <v>19</v>
      </c>
    </row>
    <row r="17" spans="5:15" ht="18.75" x14ac:dyDescent="0.25">
      <c r="E17" s="4" t="s">
        <v>16</v>
      </c>
      <c r="F17" s="5" t="s">
        <v>19</v>
      </c>
      <c r="G17" s="12">
        <v>30</v>
      </c>
      <c r="J17" s="4" t="s">
        <v>16</v>
      </c>
      <c r="K17" s="5" t="s">
        <v>19</v>
      </c>
      <c r="L17" s="12">
        <v>30</v>
      </c>
      <c r="O17" t="s">
        <v>20</v>
      </c>
    </row>
    <row r="18" spans="5:15" ht="18.75" x14ac:dyDescent="0.25">
      <c r="E18" s="4" t="s">
        <v>16</v>
      </c>
      <c r="F18" s="5" t="s">
        <v>20</v>
      </c>
      <c r="G18" s="12">
        <v>30</v>
      </c>
      <c r="J18" s="4" t="s">
        <v>16</v>
      </c>
      <c r="K18" s="5" t="s">
        <v>20</v>
      </c>
      <c r="L18" s="12">
        <v>30</v>
      </c>
      <c r="O18" t="s">
        <v>21</v>
      </c>
    </row>
    <row r="19" spans="5:15" ht="18.75" x14ac:dyDescent="0.25">
      <c r="E19" s="4" t="s">
        <v>16</v>
      </c>
      <c r="F19" s="5" t="s">
        <v>21</v>
      </c>
      <c r="G19" s="12">
        <v>30</v>
      </c>
      <c r="J19" s="4" t="s">
        <v>16</v>
      </c>
      <c r="K19" s="5" t="s">
        <v>21</v>
      </c>
      <c r="L19" s="12">
        <v>30</v>
      </c>
      <c r="O19" t="s">
        <v>22</v>
      </c>
    </row>
    <row r="20" spans="5:15" ht="18.75" x14ac:dyDescent="0.25">
      <c r="E20" s="7" t="s">
        <v>16</v>
      </c>
      <c r="F20" s="8" t="s">
        <v>22</v>
      </c>
      <c r="G20" s="13">
        <v>30</v>
      </c>
      <c r="J20" s="4" t="s">
        <v>16</v>
      </c>
      <c r="K20" s="8" t="s">
        <v>22</v>
      </c>
      <c r="L20" s="12">
        <v>30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0D226-34E1-4A99-9D78-9E16B743B853}">
  <sheetPr codeName="Sheet4"/>
  <dimension ref="F4:G4"/>
  <sheetViews>
    <sheetView workbookViewId="0">
      <selection activeCell="F5" sqref="F5"/>
    </sheetView>
  </sheetViews>
  <sheetFormatPr defaultRowHeight="15" x14ac:dyDescent="0.25"/>
  <sheetData>
    <row r="4" spans="6:7" x14ac:dyDescent="0.25">
      <c r="F4" t="s">
        <v>23</v>
      </c>
      <c r="G4" t="s">
        <v>24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A9F2-C130-4FF3-9786-FBCEC2E8ACBE}">
  <sheetPr codeName="FilterTestDataSheet"/>
  <dimension ref="B2:O1300"/>
  <sheetViews>
    <sheetView tabSelected="1" workbookViewId="0">
      <selection activeCell="D207" sqref="D207"/>
    </sheetView>
  </sheetViews>
  <sheetFormatPr defaultRowHeight="15" x14ac:dyDescent="0.25"/>
  <cols>
    <col min="2" max="2" width="39.42578125" bestFit="1" customWidth="1"/>
    <col min="3" max="3" width="39.7109375" bestFit="1" customWidth="1"/>
    <col min="4" max="4" width="18.140625" bestFit="1" customWidth="1"/>
    <col min="5" max="5" width="22.7109375" bestFit="1" customWidth="1"/>
    <col min="6" max="6" width="23" bestFit="1" customWidth="1"/>
    <col min="7" max="7" width="19.42578125" bestFit="1" customWidth="1"/>
    <col min="8" max="8" width="16.7109375" bestFit="1" customWidth="1"/>
    <col min="9" max="9" width="17.28515625" bestFit="1" customWidth="1"/>
    <col min="10" max="10" width="17.7109375" bestFit="1" customWidth="1"/>
    <col min="11" max="11" width="17.5703125" bestFit="1" customWidth="1"/>
    <col min="12" max="12" width="16.85546875" bestFit="1" customWidth="1"/>
    <col min="13" max="13" width="23.140625" bestFit="1" customWidth="1"/>
    <col min="14" max="14" width="18.42578125" bestFit="1" customWidth="1"/>
    <col min="15" max="15" width="19.7109375" bestFit="1" customWidth="1"/>
  </cols>
  <sheetData>
    <row r="2" spans="2:15" ht="18.75" x14ac:dyDescent="0.25">
      <c r="B2" s="17" t="s">
        <v>37</v>
      </c>
      <c r="C2" s="18" t="s">
        <v>38</v>
      </c>
      <c r="D2" s="18" t="s">
        <v>39</v>
      </c>
      <c r="E2" s="18" t="s">
        <v>40</v>
      </c>
      <c r="F2" s="18" t="s">
        <v>41</v>
      </c>
      <c r="G2" s="18" t="s">
        <v>42</v>
      </c>
      <c r="H2" s="18" t="s">
        <v>43</v>
      </c>
      <c r="I2" s="18" t="s">
        <v>44</v>
      </c>
      <c r="J2" s="19" t="s">
        <v>45</v>
      </c>
      <c r="K2" s="19" t="s">
        <v>46</v>
      </c>
      <c r="L2" s="19" t="s">
        <v>47</v>
      </c>
      <c r="M2" s="19" t="s">
        <v>48</v>
      </c>
      <c r="N2" s="19" t="s">
        <v>49</v>
      </c>
      <c r="O2" s="20" t="s">
        <v>50</v>
      </c>
    </row>
    <row r="3" spans="2:15" ht="18.75" hidden="1" x14ac:dyDescent="0.25">
      <c r="B3" s="4" t="s">
        <v>51</v>
      </c>
      <c r="C3" s="5" t="s">
        <v>52</v>
      </c>
      <c r="D3" s="5" t="s">
        <v>53</v>
      </c>
      <c r="E3" s="5" t="s">
        <v>54</v>
      </c>
      <c r="F3" s="5" t="s">
        <v>55</v>
      </c>
      <c r="G3" s="14">
        <v>40258</v>
      </c>
      <c r="H3" s="5">
        <v>100000321</v>
      </c>
      <c r="I3" s="14">
        <v>40293</v>
      </c>
      <c r="J3" s="5">
        <v>1172</v>
      </c>
      <c r="K3" s="15">
        <v>9.33</v>
      </c>
      <c r="L3" s="15">
        <v>6.92</v>
      </c>
      <c r="M3" s="15">
        <v>10934.76</v>
      </c>
      <c r="N3" s="15">
        <v>8110.24</v>
      </c>
      <c r="O3" s="16">
        <v>2824.5200000000004</v>
      </c>
    </row>
    <row r="4" spans="2:15" ht="18.75" hidden="1" x14ac:dyDescent="0.25">
      <c r="B4" s="4" t="s">
        <v>56</v>
      </c>
      <c r="C4" s="5" t="s">
        <v>57</v>
      </c>
      <c r="D4" s="5" t="s">
        <v>58</v>
      </c>
      <c r="E4" s="5" t="s">
        <v>54</v>
      </c>
      <c r="F4" s="5" t="s">
        <v>59</v>
      </c>
      <c r="G4" s="14">
        <v>42532</v>
      </c>
      <c r="H4" s="5">
        <v>100001180</v>
      </c>
      <c r="I4" s="14">
        <v>42558</v>
      </c>
      <c r="J4" s="5">
        <v>1426</v>
      </c>
      <c r="K4" s="15">
        <v>255.28</v>
      </c>
      <c r="L4" s="15">
        <v>159.41999999999999</v>
      </c>
      <c r="M4" s="15">
        <v>364029.28</v>
      </c>
      <c r="N4" s="15">
        <v>227332.91999999998</v>
      </c>
      <c r="O4" s="16">
        <v>136696.36000000004</v>
      </c>
    </row>
    <row r="5" spans="2:15" ht="18.75" hidden="1" x14ac:dyDescent="0.25">
      <c r="B5" s="4" t="s">
        <v>60</v>
      </c>
      <c r="C5" s="5" t="s">
        <v>61</v>
      </c>
      <c r="D5" s="5" t="s">
        <v>62</v>
      </c>
      <c r="E5" s="5" t="s">
        <v>54</v>
      </c>
      <c r="F5" s="5" t="s">
        <v>63</v>
      </c>
      <c r="G5" s="14">
        <v>41985</v>
      </c>
      <c r="H5" s="5">
        <v>100002467</v>
      </c>
      <c r="I5" s="14">
        <v>41998</v>
      </c>
      <c r="J5" s="5">
        <v>1807</v>
      </c>
      <c r="K5" s="15">
        <v>437.2</v>
      </c>
      <c r="L5" s="15">
        <v>263.33</v>
      </c>
      <c r="M5" s="15">
        <v>790020.4</v>
      </c>
      <c r="N5" s="15">
        <v>475837.31</v>
      </c>
      <c r="O5" s="16">
        <v>314183.09000000003</v>
      </c>
    </row>
    <row r="6" spans="2:15" ht="18.75" hidden="1" x14ac:dyDescent="0.25">
      <c r="B6" s="4" t="s">
        <v>51</v>
      </c>
      <c r="C6" s="5" t="s">
        <v>64</v>
      </c>
      <c r="D6" s="5" t="s">
        <v>65</v>
      </c>
      <c r="E6" s="5" t="s">
        <v>54</v>
      </c>
      <c r="F6" s="5" t="s">
        <v>59</v>
      </c>
      <c r="G6" s="14">
        <v>40891</v>
      </c>
      <c r="H6" s="5">
        <v>100005042</v>
      </c>
      <c r="I6" s="14">
        <v>40929</v>
      </c>
      <c r="J6" s="5">
        <v>2569</v>
      </c>
      <c r="K6" s="15">
        <v>651.21</v>
      </c>
      <c r="L6" s="15">
        <v>524.96</v>
      </c>
      <c r="M6" s="15">
        <v>1672958.49</v>
      </c>
      <c r="N6" s="15">
        <v>1348622.24</v>
      </c>
      <c r="O6" s="16">
        <v>324336.25</v>
      </c>
    </row>
    <row r="7" spans="2:15" ht="18.75" hidden="1" x14ac:dyDescent="0.25">
      <c r="B7" s="4" t="s">
        <v>66</v>
      </c>
      <c r="C7" s="5" t="s">
        <v>67</v>
      </c>
      <c r="D7" s="5" t="s">
        <v>68</v>
      </c>
      <c r="E7" s="5" t="s">
        <v>54</v>
      </c>
      <c r="F7" s="5" t="s">
        <v>63</v>
      </c>
      <c r="G7" s="14">
        <v>42028</v>
      </c>
      <c r="H7" s="5">
        <v>100005471</v>
      </c>
      <c r="I7" s="14">
        <v>42062</v>
      </c>
      <c r="J7" s="5">
        <v>2696</v>
      </c>
      <c r="K7" s="15">
        <v>109.28</v>
      </c>
      <c r="L7" s="15">
        <v>35.840000000000003</v>
      </c>
      <c r="M7" s="15">
        <v>294618.88</v>
      </c>
      <c r="N7" s="15">
        <v>96624.640000000014</v>
      </c>
      <c r="O7" s="16">
        <v>197994.23999999999</v>
      </c>
    </row>
    <row r="8" spans="2:15" ht="18.75" hidden="1" x14ac:dyDescent="0.25">
      <c r="B8" s="4" t="s">
        <v>60</v>
      </c>
      <c r="C8" s="5" t="s">
        <v>69</v>
      </c>
      <c r="D8" s="5" t="s">
        <v>53</v>
      </c>
      <c r="E8" s="5" t="s">
        <v>54</v>
      </c>
      <c r="F8" s="5" t="s">
        <v>70</v>
      </c>
      <c r="G8" s="14">
        <v>42619</v>
      </c>
      <c r="H8" s="5">
        <v>100007188</v>
      </c>
      <c r="I8" s="14">
        <v>42635</v>
      </c>
      <c r="J8" s="5">
        <v>3204</v>
      </c>
      <c r="K8" s="15">
        <v>9.33</v>
      </c>
      <c r="L8" s="15">
        <v>6.92</v>
      </c>
      <c r="M8" s="15">
        <v>29893.32</v>
      </c>
      <c r="N8" s="15">
        <v>22171.68</v>
      </c>
      <c r="O8" s="16">
        <v>7721.6399999999994</v>
      </c>
    </row>
    <row r="9" spans="2:15" ht="18.75" hidden="1" x14ac:dyDescent="0.25">
      <c r="B9" s="4" t="s">
        <v>60</v>
      </c>
      <c r="C9" s="5" t="s">
        <v>71</v>
      </c>
      <c r="D9" s="5" t="s">
        <v>65</v>
      </c>
      <c r="E9" s="5" t="s">
        <v>54</v>
      </c>
      <c r="F9" s="5" t="s">
        <v>63</v>
      </c>
      <c r="G9" s="14">
        <v>42072</v>
      </c>
      <c r="H9" s="5">
        <v>100008475</v>
      </c>
      <c r="I9" s="14">
        <v>42075</v>
      </c>
      <c r="J9" s="5">
        <v>3585</v>
      </c>
      <c r="K9" s="15">
        <v>651.21</v>
      </c>
      <c r="L9" s="15">
        <v>524.96</v>
      </c>
      <c r="M9" s="15">
        <v>2334587.85</v>
      </c>
      <c r="N9" s="15">
        <v>1881981.6</v>
      </c>
      <c r="O9" s="16">
        <v>452606.25</v>
      </c>
    </row>
    <row r="10" spans="2:15" ht="18.75" hidden="1" x14ac:dyDescent="0.25">
      <c r="B10" s="4" t="s">
        <v>72</v>
      </c>
      <c r="C10" s="5" t="s">
        <v>73</v>
      </c>
      <c r="D10" s="5" t="s">
        <v>68</v>
      </c>
      <c r="E10" s="5" t="s">
        <v>54</v>
      </c>
      <c r="F10" s="5" t="s">
        <v>63</v>
      </c>
      <c r="G10" s="14">
        <v>43209</v>
      </c>
      <c r="H10" s="5">
        <v>100008904</v>
      </c>
      <c r="I10" s="14">
        <v>43259</v>
      </c>
      <c r="J10" s="5">
        <v>3712</v>
      </c>
      <c r="K10" s="15">
        <v>109.28</v>
      </c>
      <c r="L10" s="15">
        <v>35.840000000000003</v>
      </c>
      <c r="M10" s="15">
        <v>405647.35999999999</v>
      </c>
      <c r="N10" s="15">
        <v>133038.08000000002</v>
      </c>
      <c r="O10" s="16">
        <v>272609.27999999997</v>
      </c>
    </row>
    <row r="11" spans="2:15" ht="18.75" hidden="1" x14ac:dyDescent="0.25">
      <c r="B11" s="4" t="s">
        <v>74</v>
      </c>
      <c r="C11" s="5" t="s">
        <v>75</v>
      </c>
      <c r="D11" s="5" t="s">
        <v>76</v>
      </c>
      <c r="E11" s="5" t="s">
        <v>54</v>
      </c>
      <c r="F11" s="5" t="s">
        <v>55</v>
      </c>
      <c r="G11" s="14">
        <v>41524</v>
      </c>
      <c r="H11" s="5">
        <v>100009763</v>
      </c>
      <c r="I11" s="14">
        <v>41565</v>
      </c>
      <c r="J11" s="5">
        <v>3966</v>
      </c>
      <c r="K11" s="15">
        <v>421.89</v>
      </c>
      <c r="L11" s="15">
        <v>364.69</v>
      </c>
      <c r="M11" s="15">
        <v>1673215.74</v>
      </c>
      <c r="N11" s="15">
        <v>1446360.54</v>
      </c>
      <c r="O11" s="16">
        <v>226855.19999999995</v>
      </c>
    </row>
    <row r="12" spans="2:15" ht="18.75" hidden="1" x14ac:dyDescent="0.25">
      <c r="B12" s="4" t="s">
        <v>72</v>
      </c>
      <c r="C12" s="5" t="s">
        <v>77</v>
      </c>
      <c r="D12" s="5" t="s">
        <v>78</v>
      </c>
      <c r="E12" s="5" t="s">
        <v>54</v>
      </c>
      <c r="F12" s="5" t="s">
        <v>70</v>
      </c>
      <c r="G12" s="14">
        <v>42662</v>
      </c>
      <c r="H12" s="5">
        <v>100010192</v>
      </c>
      <c r="I12" s="14">
        <v>42699</v>
      </c>
      <c r="J12" s="5">
        <v>4093</v>
      </c>
      <c r="K12" s="15">
        <v>47.45</v>
      </c>
      <c r="L12" s="15">
        <v>31.79</v>
      </c>
      <c r="M12" s="15">
        <v>194212.85</v>
      </c>
      <c r="N12" s="15">
        <v>130116.47</v>
      </c>
      <c r="O12" s="16">
        <v>64096.380000000005</v>
      </c>
    </row>
    <row r="13" spans="2:15" ht="18.75" hidden="1" x14ac:dyDescent="0.25">
      <c r="B13" s="4" t="s">
        <v>51</v>
      </c>
      <c r="C13" s="5" t="s">
        <v>79</v>
      </c>
      <c r="D13" s="5" t="s">
        <v>80</v>
      </c>
      <c r="E13" s="5" t="s">
        <v>54</v>
      </c>
      <c r="F13" s="5" t="s">
        <v>59</v>
      </c>
      <c r="G13" s="14">
        <v>40977</v>
      </c>
      <c r="H13" s="5">
        <v>100011050</v>
      </c>
      <c r="I13" s="14">
        <v>41005</v>
      </c>
      <c r="J13" s="5">
        <v>4347</v>
      </c>
      <c r="K13" s="15">
        <v>668.27</v>
      </c>
      <c r="L13" s="15">
        <v>502.54</v>
      </c>
      <c r="M13" s="15">
        <v>2904969.69</v>
      </c>
      <c r="N13" s="15">
        <v>2184541.38</v>
      </c>
      <c r="O13" s="16">
        <v>720428.31</v>
      </c>
    </row>
    <row r="14" spans="2:15" ht="18.75" hidden="1" x14ac:dyDescent="0.25">
      <c r="B14" s="4" t="s">
        <v>81</v>
      </c>
      <c r="C14" s="5" t="s">
        <v>82</v>
      </c>
      <c r="D14" s="5" t="s">
        <v>58</v>
      </c>
      <c r="E14" s="5" t="s">
        <v>54</v>
      </c>
      <c r="F14" s="5" t="s">
        <v>63</v>
      </c>
      <c r="G14" s="14">
        <v>42115</v>
      </c>
      <c r="H14" s="5">
        <v>100011479</v>
      </c>
      <c r="I14" s="14">
        <v>42139</v>
      </c>
      <c r="J14" s="5">
        <v>4474</v>
      </c>
      <c r="K14" s="15">
        <v>255.28</v>
      </c>
      <c r="L14" s="15">
        <v>159.41999999999999</v>
      </c>
      <c r="M14" s="15">
        <v>1142122.72</v>
      </c>
      <c r="N14" s="15">
        <v>713245.08</v>
      </c>
      <c r="O14" s="16">
        <v>428877.64</v>
      </c>
    </row>
    <row r="15" spans="2:15" ht="18.75" hidden="1" x14ac:dyDescent="0.25">
      <c r="B15" s="4" t="s">
        <v>51</v>
      </c>
      <c r="C15" s="5" t="s">
        <v>83</v>
      </c>
      <c r="D15" s="5" t="s">
        <v>68</v>
      </c>
      <c r="E15" s="5" t="s">
        <v>54</v>
      </c>
      <c r="F15" s="5" t="s">
        <v>55</v>
      </c>
      <c r="G15" s="14">
        <v>40430</v>
      </c>
      <c r="H15" s="5">
        <v>100012338</v>
      </c>
      <c r="I15" s="14">
        <v>40445</v>
      </c>
      <c r="J15" s="5">
        <v>4728</v>
      </c>
      <c r="K15" s="15">
        <v>109.28</v>
      </c>
      <c r="L15" s="15">
        <v>35.840000000000003</v>
      </c>
      <c r="M15" s="15">
        <v>516675.84000000003</v>
      </c>
      <c r="N15" s="15">
        <v>169451.52000000002</v>
      </c>
      <c r="O15" s="16">
        <v>347224.32000000001</v>
      </c>
    </row>
    <row r="16" spans="2:15" ht="18.75" hidden="1" x14ac:dyDescent="0.25">
      <c r="B16" s="4" t="s">
        <v>81</v>
      </c>
      <c r="C16" s="5" t="s">
        <v>84</v>
      </c>
      <c r="D16" s="5" t="s">
        <v>62</v>
      </c>
      <c r="E16" s="5" t="s">
        <v>54</v>
      </c>
      <c r="F16" s="5" t="s">
        <v>55</v>
      </c>
      <c r="G16" s="14">
        <v>41568</v>
      </c>
      <c r="H16" s="5">
        <v>100012767</v>
      </c>
      <c r="I16" s="14">
        <v>41579</v>
      </c>
      <c r="J16" s="5">
        <v>4855</v>
      </c>
      <c r="K16" s="15">
        <v>437.2</v>
      </c>
      <c r="L16" s="15">
        <v>263.33</v>
      </c>
      <c r="M16" s="15">
        <v>2122606</v>
      </c>
      <c r="N16" s="15">
        <v>1278467.1499999999</v>
      </c>
      <c r="O16" s="16">
        <v>844138.85000000009</v>
      </c>
    </row>
    <row r="17" spans="2:15" ht="18.75" hidden="1" x14ac:dyDescent="0.25">
      <c r="B17" s="4" t="s">
        <v>81</v>
      </c>
      <c r="C17" s="5" t="s">
        <v>85</v>
      </c>
      <c r="D17" s="5" t="s">
        <v>53</v>
      </c>
      <c r="E17" s="5" t="s">
        <v>54</v>
      </c>
      <c r="F17" s="5" t="s">
        <v>59</v>
      </c>
      <c r="G17" s="14">
        <v>41021</v>
      </c>
      <c r="H17" s="5">
        <v>100014054</v>
      </c>
      <c r="I17" s="14">
        <v>41070</v>
      </c>
      <c r="J17" s="5">
        <v>5236</v>
      </c>
      <c r="K17" s="15">
        <v>9.33</v>
      </c>
      <c r="L17" s="15">
        <v>6.92</v>
      </c>
      <c r="M17" s="15">
        <v>48851.88</v>
      </c>
      <c r="N17" s="15">
        <v>36233.120000000003</v>
      </c>
      <c r="O17" s="16">
        <v>12618.759999999995</v>
      </c>
    </row>
    <row r="18" spans="2:15" ht="18.75" hidden="1" x14ac:dyDescent="0.25">
      <c r="B18" s="4" t="s">
        <v>56</v>
      </c>
      <c r="C18" s="5" t="s">
        <v>86</v>
      </c>
      <c r="D18" s="5" t="s">
        <v>65</v>
      </c>
      <c r="E18" s="5" t="s">
        <v>54</v>
      </c>
      <c r="F18" s="5" t="s">
        <v>55</v>
      </c>
      <c r="G18" s="14">
        <v>40473</v>
      </c>
      <c r="H18" s="5">
        <v>100015342</v>
      </c>
      <c r="I18" s="14">
        <v>40509</v>
      </c>
      <c r="J18" s="5">
        <v>5617</v>
      </c>
      <c r="K18" s="15">
        <v>651.21</v>
      </c>
      <c r="L18" s="15">
        <v>524.96</v>
      </c>
      <c r="M18" s="15">
        <v>3657846.5700000003</v>
      </c>
      <c r="N18" s="15">
        <v>2948700.3200000003</v>
      </c>
      <c r="O18" s="16">
        <v>709146.25</v>
      </c>
    </row>
    <row r="19" spans="2:15" ht="18.75" hidden="1" x14ac:dyDescent="0.25">
      <c r="B19" s="4" t="s">
        <v>51</v>
      </c>
      <c r="C19" s="5" t="s">
        <v>87</v>
      </c>
      <c r="D19" s="5" t="s">
        <v>88</v>
      </c>
      <c r="E19" s="5" t="s">
        <v>54</v>
      </c>
      <c r="F19" s="5" t="s">
        <v>55</v>
      </c>
      <c r="G19" s="14">
        <v>41611</v>
      </c>
      <c r="H19" s="5">
        <v>100015771</v>
      </c>
      <c r="I19" s="14">
        <v>41642</v>
      </c>
      <c r="J19" s="5">
        <v>5744</v>
      </c>
      <c r="K19" s="15">
        <v>152.58000000000001</v>
      </c>
      <c r="L19" s="15">
        <v>97.44</v>
      </c>
      <c r="M19" s="15">
        <v>876419.52</v>
      </c>
      <c r="N19" s="15">
        <v>559695.35999999999</v>
      </c>
      <c r="O19" s="16">
        <v>316724.16000000003</v>
      </c>
    </row>
    <row r="20" spans="2:15" ht="18.75" hidden="1" x14ac:dyDescent="0.25">
      <c r="B20" s="4" t="s">
        <v>81</v>
      </c>
      <c r="C20" s="5" t="s">
        <v>89</v>
      </c>
      <c r="D20" s="5" t="s">
        <v>62</v>
      </c>
      <c r="E20" s="5" t="s">
        <v>54</v>
      </c>
      <c r="F20" s="5" t="s">
        <v>70</v>
      </c>
      <c r="G20" s="14">
        <v>42748</v>
      </c>
      <c r="H20" s="5">
        <v>100016200</v>
      </c>
      <c r="I20" s="14">
        <v>42775</v>
      </c>
      <c r="J20" s="5">
        <v>5871</v>
      </c>
      <c r="K20" s="15">
        <v>437.2</v>
      </c>
      <c r="L20" s="15">
        <v>263.33</v>
      </c>
      <c r="M20" s="15">
        <v>2566801.1999999997</v>
      </c>
      <c r="N20" s="15">
        <v>1546010.43</v>
      </c>
      <c r="O20" s="16">
        <v>1020790.7699999998</v>
      </c>
    </row>
    <row r="21" spans="2:15" ht="18.75" hidden="1" x14ac:dyDescent="0.25">
      <c r="B21" s="4" t="s">
        <v>60</v>
      </c>
      <c r="C21" s="5" t="s">
        <v>90</v>
      </c>
      <c r="D21" s="5" t="s">
        <v>80</v>
      </c>
      <c r="E21" s="5" t="s">
        <v>54</v>
      </c>
      <c r="F21" s="5" t="s">
        <v>63</v>
      </c>
      <c r="G21" s="14">
        <v>43338</v>
      </c>
      <c r="H21" s="5">
        <v>100017917</v>
      </c>
      <c r="I21" s="14">
        <v>43348</v>
      </c>
      <c r="J21" s="5">
        <v>6379</v>
      </c>
      <c r="K21" s="15">
        <v>668.27</v>
      </c>
      <c r="L21" s="15">
        <v>502.54</v>
      </c>
      <c r="M21" s="15">
        <v>4262894.33</v>
      </c>
      <c r="N21" s="15">
        <v>3205702.66</v>
      </c>
      <c r="O21" s="16">
        <v>1057191.67</v>
      </c>
    </row>
    <row r="22" spans="2:15" ht="18.75" x14ac:dyDescent="0.25">
      <c r="B22" s="4" t="s">
        <v>72</v>
      </c>
      <c r="C22" s="5" t="s">
        <v>91</v>
      </c>
      <c r="D22" s="5" t="s">
        <v>62</v>
      </c>
      <c r="E22" s="5" t="s">
        <v>54</v>
      </c>
      <c r="F22" s="5" t="s">
        <v>70</v>
      </c>
      <c r="G22" s="14">
        <v>43929</v>
      </c>
      <c r="H22" s="5">
        <v>100019633</v>
      </c>
      <c r="I22" s="14">
        <v>43972</v>
      </c>
      <c r="J22" s="5">
        <v>6887</v>
      </c>
      <c r="K22" s="15">
        <v>437.2</v>
      </c>
      <c r="L22" s="15">
        <v>263.33</v>
      </c>
      <c r="M22" s="15">
        <v>3010996.4</v>
      </c>
      <c r="N22" s="15">
        <v>1813553.71</v>
      </c>
      <c r="O22" s="16">
        <v>1197442.69</v>
      </c>
    </row>
    <row r="23" spans="2:15" ht="18.75" hidden="1" x14ac:dyDescent="0.25">
      <c r="B23" s="4" t="s">
        <v>56</v>
      </c>
      <c r="C23" s="5" t="s">
        <v>92</v>
      </c>
      <c r="D23" s="5" t="s">
        <v>93</v>
      </c>
      <c r="E23" s="5" t="s">
        <v>54</v>
      </c>
      <c r="F23" s="5" t="s">
        <v>70</v>
      </c>
      <c r="G23" s="14">
        <v>41107</v>
      </c>
      <c r="H23" s="5">
        <v>100020062</v>
      </c>
      <c r="I23" s="14">
        <v>41146</v>
      </c>
      <c r="J23" s="5">
        <v>7014</v>
      </c>
      <c r="K23" s="15">
        <v>81.73</v>
      </c>
      <c r="L23" s="15">
        <v>56.67</v>
      </c>
      <c r="M23" s="15">
        <v>573254.22</v>
      </c>
      <c r="N23" s="15">
        <v>397483.38</v>
      </c>
      <c r="O23" s="16">
        <v>175770.83999999997</v>
      </c>
    </row>
    <row r="24" spans="2:15" ht="18.75" hidden="1" x14ac:dyDescent="0.25">
      <c r="B24" s="4" t="s">
        <v>51</v>
      </c>
      <c r="C24" s="5" t="s">
        <v>94</v>
      </c>
      <c r="D24" s="5" t="s">
        <v>78</v>
      </c>
      <c r="E24" s="5" t="s">
        <v>54</v>
      </c>
      <c r="F24" s="5" t="s">
        <v>59</v>
      </c>
      <c r="G24" s="14">
        <v>42244</v>
      </c>
      <c r="H24" s="5">
        <v>100020492</v>
      </c>
      <c r="I24" s="14">
        <v>42278</v>
      </c>
      <c r="J24" s="5">
        <v>7141</v>
      </c>
      <c r="K24" s="15">
        <v>47.45</v>
      </c>
      <c r="L24" s="15">
        <v>31.79</v>
      </c>
      <c r="M24" s="15">
        <v>338840.45</v>
      </c>
      <c r="N24" s="15">
        <v>227012.38999999998</v>
      </c>
      <c r="O24" s="16">
        <v>111828.06000000003</v>
      </c>
    </row>
    <row r="25" spans="2:15" ht="18.75" hidden="1" x14ac:dyDescent="0.25">
      <c r="B25" s="4" t="s">
        <v>66</v>
      </c>
      <c r="C25" s="5" t="s">
        <v>95</v>
      </c>
      <c r="D25" s="5" t="s">
        <v>96</v>
      </c>
      <c r="E25" s="5" t="s">
        <v>54</v>
      </c>
      <c r="F25" s="5" t="s">
        <v>63</v>
      </c>
      <c r="G25" s="14">
        <v>43382</v>
      </c>
      <c r="H25" s="5">
        <v>100020921</v>
      </c>
      <c r="I25" s="14">
        <v>43412</v>
      </c>
      <c r="J25" s="5">
        <v>7268</v>
      </c>
      <c r="K25" s="15">
        <v>154.06</v>
      </c>
      <c r="L25" s="15">
        <v>90.93</v>
      </c>
      <c r="M25" s="15">
        <v>1119708.08</v>
      </c>
      <c r="N25" s="15">
        <v>660879.24000000011</v>
      </c>
      <c r="O25" s="16">
        <v>458828.83999999997</v>
      </c>
    </row>
    <row r="26" spans="2:15" ht="18.75" hidden="1" x14ac:dyDescent="0.25">
      <c r="B26" s="4" t="s">
        <v>56</v>
      </c>
      <c r="C26" s="5" t="s">
        <v>97</v>
      </c>
      <c r="D26" s="5" t="s">
        <v>80</v>
      </c>
      <c r="E26" s="5" t="s">
        <v>54</v>
      </c>
      <c r="F26" s="5" t="s">
        <v>63</v>
      </c>
      <c r="G26" s="14">
        <v>40560</v>
      </c>
      <c r="H26" s="5">
        <v>100021350</v>
      </c>
      <c r="I26" s="14">
        <v>40586</v>
      </c>
      <c r="J26" s="5">
        <v>7395</v>
      </c>
      <c r="K26" s="15">
        <v>668.27</v>
      </c>
      <c r="L26" s="15">
        <v>502.54</v>
      </c>
      <c r="M26" s="15">
        <v>4941856.6499999994</v>
      </c>
      <c r="N26" s="15">
        <v>3716283.3000000003</v>
      </c>
      <c r="O26" s="16">
        <v>1225573.3499999992</v>
      </c>
    </row>
    <row r="27" spans="2:15" ht="18.75" hidden="1" x14ac:dyDescent="0.25">
      <c r="B27" s="4" t="s">
        <v>51</v>
      </c>
      <c r="C27" s="5" t="s">
        <v>98</v>
      </c>
      <c r="D27" s="5" t="s">
        <v>96</v>
      </c>
      <c r="E27" s="5" t="s">
        <v>54</v>
      </c>
      <c r="F27" s="5" t="s">
        <v>63</v>
      </c>
      <c r="G27" s="14">
        <v>40603</v>
      </c>
      <c r="H27" s="5">
        <v>100024354</v>
      </c>
      <c r="I27" s="14">
        <v>40649</v>
      </c>
      <c r="J27" s="5">
        <v>8284</v>
      </c>
      <c r="K27" s="15">
        <v>154.06</v>
      </c>
      <c r="L27" s="15">
        <v>90.93</v>
      </c>
      <c r="M27" s="15">
        <v>1276233.04</v>
      </c>
      <c r="N27" s="15">
        <v>753264.12000000011</v>
      </c>
      <c r="O27" s="16">
        <v>522968.91999999993</v>
      </c>
    </row>
    <row r="28" spans="2:15" ht="18.75" hidden="1" x14ac:dyDescent="0.25">
      <c r="B28" s="4" t="s">
        <v>74</v>
      </c>
      <c r="C28" s="5" t="s">
        <v>99</v>
      </c>
      <c r="D28" s="5" t="s">
        <v>100</v>
      </c>
      <c r="E28" s="5" t="s">
        <v>54</v>
      </c>
      <c r="F28" s="5" t="s">
        <v>55</v>
      </c>
      <c r="G28" s="14">
        <v>42878</v>
      </c>
      <c r="H28" s="5">
        <v>100025212</v>
      </c>
      <c r="I28" s="14">
        <v>42915</v>
      </c>
      <c r="J28" s="5">
        <v>8538</v>
      </c>
      <c r="K28" s="15">
        <v>205.7</v>
      </c>
      <c r="L28" s="15">
        <v>117.11</v>
      </c>
      <c r="M28" s="15">
        <v>1756266.5999999999</v>
      </c>
      <c r="N28" s="15">
        <v>999885.18</v>
      </c>
      <c r="O28" s="16">
        <v>756381.41999999981</v>
      </c>
    </row>
    <row r="29" spans="2:15" ht="18.75" x14ac:dyDescent="0.25">
      <c r="B29" s="4" t="s">
        <v>72</v>
      </c>
      <c r="C29" s="5" t="s">
        <v>101</v>
      </c>
      <c r="D29" s="5" t="s">
        <v>65</v>
      </c>
      <c r="E29" s="5" t="s">
        <v>54</v>
      </c>
      <c r="F29" s="5" t="s">
        <v>70</v>
      </c>
      <c r="G29" s="14">
        <v>44015</v>
      </c>
      <c r="H29" s="5">
        <v>100025641</v>
      </c>
      <c r="I29" s="14">
        <v>44048</v>
      </c>
      <c r="J29" s="5">
        <v>8665</v>
      </c>
      <c r="K29" s="15">
        <v>651.21</v>
      </c>
      <c r="L29" s="15">
        <v>524.96</v>
      </c>
      <c r="M29" s="15">
        <v>5642734.6500000004</v>
      </c>
      <c r="N29" s="15">
        <v>4548778.4000000004</v>
      </c>
      <c r="O29" s="16">
        <v>1093956.25</v>
      </c>
    </row>
    <row r="30" spans="2:15" ht="18.75" hidden="1" x14ac:dyDescent="0.25">
      <c r="B30" s="4" t="s">
        <v>81</v>
      </c>
      <c r="C30" s="5" t="s">
        <v>102</v>
      </c>
      <c r="D30" s="5" t="s">
        <v>93</v>
      </c>
      <c r="E30" s="5" t="s">
        <v>54</v>
      </c>
      <c r="F30" s="5" t="s">
        <v>59</v>
      </c>
      <c r="G30" s="14">
        <v>43468</v>
      </c>
      <c r="H30" s="5">
        <v>100026929</v>
      </c>
      <c r="I30" s="14">
        <v>43488</v>
      </c>
      <c r="J30" s="5">
        <v>9046</v>
      </c>
      <c r="K30" s="15">
        <v>81.73</v>
      </c>
      <c r="L30" s="15">
        <v>56.67</v>
      </c>
      <c r="M30" s="15">
        <v>739329.58000000007</v>
      </c>
      <c r="N30" s="15">
        <v>512636.82</v>
      </c>
      <c r="O30" s="16">
        <v>226692.76000000007</v>
      </c>
    </row>
    <row r="31" spans="2:15" ht="18.75" hidden="1" x14ac:dyDescent="0.25">
      <c r="B31" s="4" t="s">
        <v>81</v>
      </c>
      <c r="C31" s="5" t="s">
        <v>103</v>
      </c>
      <c r="D31" s="5" t="s">
        <v>88</v>
      </c>
      <c r="E31" s="5" t="s">
        <v>54</v>
      </c>
      <c r="F31" s="5" t="s">
        <v>70</v>
      </c>
      <c r="G31" s="14">
        <v>42374</v>
      </c>
      <c r="H31" s="5">
        <v>100029504</v>
      </c>
      <c r="I31" s="14">
        <v>42419</v>
      </c>
      <c r="J31" s="5">
        <v>9808</v>
      </c>
      <c r="K31" s="15">
        <v>152.58000000000001</v>
      </c>
      <c r="L31" s="15">
        <v>97.44</v>
      </c>
      <c r="M31" s="15">
        <v>1496504.6400000001</v>
      </c>
      <c r="N31" s="15">
        <v>955691.52000000002</v>
      </c>
      <c r="O31" s="16">
        <v>540813.12000000011</v>
      </c>
    </row>
    <row r="32" spans="2:15" ht="18.75" hidden="1" x14ac:dyDescent="0.25">
      <c r="B32" s="4" t="s">
        <v>74</v>
      </c>
      <c r="C32" s="5" t="s">
        <v>104</v>
      </c>
      <c r="D32" s="5" t="s">
        <v>62</v>
      </c>
      <c r="E32" s="5" t="s">
        <v>54</v>
      </c>
      <c r="F32" s="5" t="s">
        <v>59</v>
      </c>
      <c r="G32" s="14">
        <v>43511</v>
      </c>
      <c r="H32" s="5">
        <v>100029933</v>
      </c>
      <c r="I32" s="14">
        <v>43552</v>
      </c>
      <c r="J32" s="5">
        <v>9935</v>
      </c>
      <c r="K32" s="15">
        <v>437.2</v>
      </c>
      <c r="L32" s="15">
        <v>263.33</v>
      </c>
      <c r="M32" s="15">
        <v>4343582</v>
      </c>
      <c r="N32" s="15">
        <v>2616183.5499999998</v>
      </c>
      <c r="O32" s="16">
        <v>1727398.4500000002</v>
      </c>
    </row>
    <row r="33" spans="2:15" ht="18.75" hidden="1" x14ac:dyDescent="0.25">
      <c r="B33" s="4" t="s">
        <v>56</v>
      </c>
      <c r="C33" s="5" t="s">
        <v>105</v>
      </c>
      <c r="D33" s="5" t="s">
        <v>78</v>
      </c>
      <c r="E33" s="5" t="s">
        <v>54</v>
      </c>
      <c r="F33" s="5" t="s">
        <v>63</v>
      </c>
      <c r="G33" s="14">
        <v>41827</v>
      </c>
      <c r="H33" s="5">
        <v>100030791</v>
      </c>
      <c r="I33" s="14">
        <v>41859</v>
      </c>
      <c r="J33" s="5">
        <v>189</v>
      </c>
      <c r="K33" s="15">
        <v>47.45</v>
      </c>
      <c r="L33" s="15">
        <v>31.79</v>
      </c>
      <c r="M33" s="15">
        <v>8968.0500000000011</v>
      </c>
      <c r="N33" s="15">
        <v>6008.3099999999995</v>
      </c>
      <c r="O33" s="16">
        <v>2959.7400000000016</v>
      </c>
    </row>
    <row r="34" spans="2:15" ht="18.75" hidden="1" x14ac:dyDescent="0.25">
      <c r="B34" s="4" t="s">
        <v>56</v>
      </c>
      <c r="C34" s="5" t="s">
        <v>106</v>
      </c>
      <c r="D34" s="5" t="s">
        <v>100</v>
      </c>
      <c r="E34" s="5" t="s">
        <v>54</v>
      </c>
      <c r="F34" s="5" t="s">
        <v>70</v>
      </c>
      <c r="G34" s="14">
        <v>41280</v>
      </c>
      <c r="H34" s="5">
        <v>100032079</v>
      </c>
      <c r="I34" s="14">
        <v>41299</v>
      </c>
      <c r="J34" s="5">
        <v>570</v>
      </c>
      <c r="K34" s="15">
        <v>205.7</v>
      </c>
      <c r="L34" s="15">
        <v>117.11</v>
      </c>
      <c r="M34" s="15">
        <v>117249</v>
      </c>
      <c r="N34" s="15">
        <v>66752.7</v>
      </c>
      <c r="O34" s="16">
        <v>50496.3</v>
      </c>
    </row>
    <row r="35" spans="2:15" ht="18.75" hidden="1" x14ac:dyDescent="0.25">
      <c r="B35" s="4" t="s">
        <v>51</v>
      </c>
      <c r="C35" s="5" t="s">
        <v>107</v>
      </c>
      <c r="D35" s="5" t="s">
        <v>65</v>
      </c>
      <c r="E35" s="5" t="s">
        <v>54</v>
      </c>
      <c r="F35" s="5" t="s">
        <v>70</v>
      </c>
      <c r="G35" s="14">
        <v>42417</v>
      </c>
      <c r="H35" s="5">
        <v>100032508</v>
      </c>
      <c r="I35" s="14">
        <v>42431</v>
      </c>
      <c r="J35" s="5">
        <v>697</v>
      </c>
      <c r="K35" s="15">
        <v>651.21</v>
      </c>
      <c r="L35" s="15">
        <v>524.96</v>
      </c>
      <c r="M35" s="15">
        <v>453893.37000000005</v>
      </c>
      <c r="N35" s="15">
        <v>365897.12000000005</v>
      </c>
      <c r="O35" s="16">
        <v>87996.25</v>
      </c>
    </row>
    <row r="36" spans="2:15" ht="18.75" hidden="1" x14ac:dyDescent="0.25">
      <c r="B36" s="4" t="s">
        <v>81</v>
      </c>
      <c r="C36" s="5" t="s">
        <v>108</v>
      </c>
      <c r="D36" s="5" t="s">
        <v>78</v>
      </c>
      <c r="E36" s="5" t="s">
        <v>54</v>
      </c>
      <c r="F36" s="5" t="s">
        <v>63</v>
      </c>
      <c r="G36" s="14">
        <v>43007</v>
      </c>
      <c r="H36" s="5">
        <v>100034224</v>
      </c>
      <c r="I36" s="14">
        <v>43055</v>
      </c>
      <c r="J36" s="5">
        <v>1205</v>
      </c>
      <c r="K36" s="15">
        <v>47.45</v>
      </c>
      <c r="L36" s="15">
        <v>31.79</v>
      </c>
      <c r="M36" s="15">
        <v>57177.25</v>
      </c>
      <c r="N36" s="15">
        <v>38306.949999999997</v>
      </c>
      <c r="O36" s="16">
        <v>18870.300000000003</v>
      </c>
    </row>
    <row r="37" spans="2:15" ht="18.75" hidden="1" x14ac:dyDescent="0.25">
      <c r="B37" s="4" t="s">
        <v>72</v>
      </c>
      <c r="C37" s="5" t="s">
        <v>109</v>
      </c>
      <c r="D37" s="5" t="s">
        <v>68</v>
      </c>
      <c r="E37" s="5" t="s">
        <v>54</v>
      </c>
      <c r="F37" s="5" t="s">
        <v>70</v>
      </c>
      <c r="G37" s="14">
        <v>41323</v>
      </c>
      <c r="H37" s="5">
        <v>100035083</v>
      </c>
      <c r="I37" s="14">
        <v>41362</v>
      </c>
      <c r="J37" s="5">
        <v>1459</v>
      </c>
      <c r="K37" s="15">
        <v>109.28</v>
      </c>
      <c r="L37" s="15">
        <v>35.840000000000003</v>
      </c>
      <c r="M37" s="15">
        <v>159439.51999999999</v>
      </c>
      <c r="N37" s="15">
        <v>52290.560000000005</v>
      </c>
      <c r="O37" s="16">
        <v>107148.95999999999</v>
      </c>
    </row>
    <row r="38" spans="2:15" ht="18.75" hidden="1" x14ac:dyDescent="0.25">
      <c r="B38" s="4" t="s">
        <v>81</v>
      </c>
      <c r="C38" s="5" t="s">
        <v>110</v>
      </c>
      <c r="D38" s="5" t="s">
        <v>100</v>
      </c>
      <c r="E38" s="5" t="s">
        <v>54</v>
      </c>
      <c r="F38" s="5" t="s">
        <v>70</v>
      </c>
      <c r="G38" s="14">
        <v>42460</v>
      </c>
      <c r="H38" s="5">
        <v>100035512</v>
      </c>
      <c r="I38" s="14">
        <v>42495</v>
      </c>
      <c r="J38" s="5">
        <v>1586</v>
      </c>
      <c r="K38" s="15">
        <v>205.7</v>
      </c>
      <c r="L38" s="15">
        <v>117.11</v>
      </c>
      <c r="M38" s="15">
        <v>326240.19999999995</v>
      </c>
      <c r="N38" s="15">
        <v>185736.46</v>
      </c>
      <c r="O38" s="16">
        <v>140503.73999999996</v>
      </c>
    </row>
    <row r="39" spans="2:15" ht="18.75" hidden="1" x14ac:dyDescent="0.25">
      <c r="B39" s="4" t="s">
        <v>51</v>
      </c>
      <c r="C39" s="5" t="s">
        <v>111</v>
      </c>
      <c r="D39" s="5" t="s">
        <v>76</v>
      </c>
      <c r="E39" s="5" t="s">
        <v>54</v>
      </c>
      <c r="F39" s="5" t="s">
        <v>59</v>
      </c>
      <c r="G39" s="14">
        <v>43597</v>
      </c>
      <c r="H39" s="5">
        <v>100035941</v>
      </c>
      <c r="I39" s="14">
        <v>43627</v>
      </c>
      <c r="J39" s="5">
        <v>1713</v>
      </c>
      <c r="K39" s="15">
        <v>421.89</v>
      </c>
      <c r="L39" s="15">
        <v>364.69</v>
      </c>
      <c r="M39" s="15">
        <v>722697.57</v>
      </c>
      <c r="N39" s="15">
        <v>624713.97</v>
      </c>
      <c r="O39" s="16">
        <v>97983.599999999977</v>
      </c>
    </row>
    <row r="40" spans="2:15" ht="18.75" hidden="1" x14ac:dyDescent="0.25">
      <c r="B40" s="4" t="s">
        <v>56</v>
      </c>
      <c r="C40" s="5" t="s">
        <v>112</v>
      </c>
      <c r="D40" s="5" t="s">
        <v>53</v>
      </c>
      <c r="E40" s="5" t="s">
        <v>54</v>
      </c>
      <c r="F40" s="5" t="s">
        <v>63</v>
      </c>
      <c r="G40" s="14">
        <v>41913</v>
      </c>
      <c r="H40" s="5">
        <v>100036799</v>
      </c>
      <c r="I40" s="14">
        <v>41935</v>
      </c>
      <c r="J40" s="5">
        <v>1967</v>
      </c>
      <c r="K40" s="15">
        <v>9.33</v>
      </c>
      <c r="L40" s="15">
        <v>6.92</v>
      </c>
      <c r="M40" s="15">
        <v>18352.11</v>
      </c>
      <c r="N40" s="15">
        <v>13611.64</v>
      </c>
      <c r="O40" s="16">
        <v>4740.4700000000012</v>
      </c>
    </row>
    <row r="41" spans="2:15" ht="18.75" hidden="1" x14ac:dyDescent="0.25">
      <c r="B41" s="4" t="s">
        <v>51</v>
      </c>
      <c r="C41" s="5" t="s">
        <v>113</v>
      </c>
      <c r="D41" s="5" t="s">
        <v>93</v>
      </c>
      <c r="E41" s="5" t="s">
        <v>54</v>
      </c>
      <c r="F41" s="5" t="s">
        <v>63</v>
      </c>
      <c r="G41" s="14">
        <v>43050</v>
      </c>
      <c r="H41" s="5">
        <v>100037229</v>
      </c>
      <c r="I41" s="14">
        <v>43067</v>
      </c>
      <c r="J41" s="5">
        <v>2094</v>
      </c>
      <c r="K41" s="15">
        <v>81.73</v>
      </c>
      <c r="L41" s="15">
        <v>56.67</v>
      </c>
      <c r="M41" s="15">
        <v>171142.62</v>
      </c>
      <c r="N41" s="15">
        <v>118666.98000000001</v>
      </c>
      <c r="O41" s="16">
        <v>52475.639999999985</v>
      </c>
    </row>
    <row r="42" spans="2:15" ht="18.75" hidden="1" x14ac:dyDescent="0.25">
      <c r="B42" s="4" t="s">
        <v>51</v>
      </c>
      <c r="C42" s="5" t="s">
        <v>114</v>
      </c>
      <c r="D42" s="5" t="s">
        <v>68</v>
      </c>
      <c r="E42" s="5" t="s">
        <v>54</v>
      </c>
      <c r="F42" s="5" t="s">
        <v>70</v>
      </c>
      <c r="G42" s="14">
        <v>42503</v>
      </c>
      <c r="H42" s="5">
        <v>100038516</v>
      </c>
      <c r="I42" s="14">
        <v>42507</v>
      </c>
      <c r="J42" s="5">
        <v>2475</v>
      </c>
      <c r="K42" s="15">
        <v>109.28</v>
      </c>
      <c r="L42" s="15">
        <v>35.840000000000003</v>
      </c>
      <c r="M42" s="15">
        <v>270468</v>
      </c>
      <c r="N42" s="15">
        <v>88704.000000000015</v>
      </c>
      <c r="O42" s="16">
        <v>181764</v>
      </c>
    </row>
    <row r="43" spans="2:15" ht="18.75" hidden="1" x14ac:dyDescent="0.25">
      <c r="B43" s="4" t="s">
        <v>81</v>
      </c>
      <c r="C43" s="5" t="s">
        <v>115</v>
      </c>
      <c r="D43" s="5" t="s">
        <v>100</v>
      </c>
      <c r="E43" s="5" t="s">
        <v>54</v>
      </c>
      <c r="F43" s="5" t="s">
        <v>70</v>
      </c>
      <c r="G43" s="14">
        <v>43641</v>
      </c>
      <c r="H43" s="5">
        <v>100038945</v>
      </c>
      <c r="I43" s="14">
        <v>43641</v>
      </c>
      <c r="J43" s="5">
        <v>2602</v>
      </c>
      <c r="K43" s="15">
        <v>205.7</v>
      </c>
      <c r="L43" s="15">
        <v>117.11</v>
      </c>
      <c r="M43" s="15">
        <v>535231.4</v>
      </c>
      <c r="N43" s="15">
        <v>304720.21999999997</v>
      </c>
      <c r="O43" s="16">
        <v>230511.18000000005</v>
      </c>
    </row>
    <row r="44" spans="2:15" ht="18.75" hidden="1" x14ac:dyDescent="0.25">
      <c r="B44" s="4" t="s">
        <v>51</v>
      </c>
      <c r="C44" s="5" t="s">
        <v>116</v>
      </c>
      <c r="D44" s="5" t="s">
        <v>88</v>
      </c>
      <c r="E44" s="5" t="s">
        <v>54</v>
      </c>
      <c r="F44" s="5" t="s">
        <v>63</v>
      </c>
      <c r="G44" s="14">
        <v>41956</v>
      </c>
      <c r="H44" s="5">
        <v>100039803</v>
      </c>
      <c r="I44" s="14">
        <v>41998</v>
      </c>
      <c r="J44" s="5">
        <v>2856</v>
      </c>
      <c r="K44" s="15">
        <v>152.58000000000001</v>
      </c>
      <c r="L44" s="15">
        <v>97.44</v>
      </c>
      <c r="M44" s="15">
        <v>435768.48000000004</v>
      </c>
      <c r="N44" s="15">
        <v>278288.64000000001</v>
      </c>
      <c r="O44" s="16">
        <v>157479.84000000003</v>
      </c>
    </row>
    <row r="45" spans="2:15" ht="18.75" hidden="1" x14ac:dyDescent="0.25">
      <c r="B45" s="4" t="s">
        <v>81</v>
      </c>
      <c r="C45" s="5" t="s">
        <v>117</v>
      </c>
      <c r="D45" s="5" t="s">
        <v>53</v>
      </c>
      <c r="E45" s="5" t="s">
        <v>54</v>
      </c>
      <c r="F45" s="5" t="s">
        <v>63</v>
      </c>
      <c r="G45" s="14">
        <v>43093</v>
      </c>
      <c r="H45" s="5">
        <v>100040233</v>
      </c>
      <c r="I45" s="14">
        <v>43131</v>
      </c>
      <c r="J45" s="5">
        <v>2983</v>
      </c>
      <c r="K45" s="15">
        <v>9.33</v>
      </c>
      <c r="L45" s="15">
        <v>6.92</v>
      </c>
      <c r="M45" s="15">
        <v>27831.39</v>
      </c>
      <c r="N45" s="15">
        <v>20642.36</v>
      </c>
      <c r="O45" s="16">
        <v>7189.0299999999988</v>
      </c>
    </row>
    <row r="46" spans="2:15" ht="18.75" hidden="1" x14ac:dyDescent="0.25">
      <c r="B46" s="4" t="s">
        <v>74</v>
      </c>
      <c r="C46" s="5" t="s">
        <v>118</v>
      </c>
      <c r="D46" s="5" t="s">
        <v>93</v>
      </c>
      <c r="E46" s="5" t="s">
        <v>54</v>
      </c>
      <c r="F46" s="5" t="s">
        <v>55</v>
      </c>
      <c r="G46" s="14">
        <v>40272</v>
      </c>
      <c r="H46" s="5">
        <v>100040662</v>
      </c>
      <c r="I46" s="14">
        <v>40306</v>
      </c>
      <c r="J46" s="5">
        <v>3110</v>
      </c>
      <c r="K46" s="15">
        <v>81.73</v>
      </c>
      <c r="L46" s="15">
        <v>56.67</v>
      </c>
      <c r="M46" s="15">
        <v>254180.30000000002</v>
      </c>
      <c r="N46" s="15">
        <v>176243.7</v>
      </c>
      <c r="O46" s="16">
        <v>77936.600000000006</v>
      </c>
    </row>
    <row r="47" spans="2:15" ht="18.75" hidden="1" x14ac:dyDescent="0.25">
      <c r="B47" s="4" t="s">
        <v>81</v>
      </c>
      <c r="C47" s="5" t="s">
        <v>119</v>
      </c>
      <c r="D47" s="5" t="s">
        <v>100</v>
      </c>
      <c r="E47" s="5" t="s">
        <v>54</v>
      </c>
      <c r="F47" s="5" t="s">
        <v>59</v>
      </c>
      <c r="G47" s="14">
        <v>40862</v>
      </c>
      <c r="H47" s="5">
        <v>100042378</v>
      </c>
      <c r="I47" s="14">
        <v>40878</v>
      </c>
      <c r="J47" s="5">
        <v>3618</v>
      </c>
      <c r="K47" s="15">
        <v>205.7</v>
      </c>
      <c r="L47" s="15">
        <v>117.11</v>
      </c>
      <c r="M47" s="15">
        <v>744222.6</v>
      </c>
      <c r="N47" s="15">
        <v>423703.98</v>
      </c>
      <c r="O47" s="16">
        <v>320518.62</v>
      </c>
    </row>
    <row r="48" spans="2:15" ht="18.75" hidden="1" x14ac:dyDescent="0.25">
      <c r="B48" s="4" t="s">
        <v>60</v>
      </c>
      <c r="C48" s="5" t="s">
        <v>120</v>
      </c>
      <c r="D48" s="5" t="s">
        <v>76</v>
      </c>
      <c r="E48" s="5" t="s">
        <v>54</v>
      </c>
      <c r="F48" s="5" t="s">
        <v>59</v>
      </c>
      <c r="G48" s="14">
        <v>41999</v>
      </c>
      <c r="H48" s="5">
        <v>100042808</v>
      </c>
      <c r="I48" s="14">
        <v>42011</v>
      </c>
      <c r="J48" s="5">
        <v>3745</v>
      </c>
      <c r="K48" s="15">
        <v>421.89</v>
      </c>
      <c r="L48" s="15">
        <v>364.69</v>
      </c>
      <c r="M48" s="15">
        <v>1579978.05</v>
      </c>
      <c r="N48" s="15">
        <v>1365764.05</v>
      </c>
      <c r="O48" s="16">
        <v>214214</v>
      </c>
    </row>
    <row r="49" spans="2:15" ht="18.75" hidden="1" x14ac:dyDescent="0.25">
      <c r="B49" s="4" t="s">
        <v>81</v>
      </c>
      <c r="C49" s="5" t="s">
        <v>121</v>
      </c>
      <c r="D49" s="5" t="s">
        <v>53</v>
      </c>
      <c r="E49" s="5" t="s">
        <v>54</v>
      </c>
      <c r="F49" s="5" t="s">
        <v>63</v>
      </c>
      <c r="G49" s="14">
        <v>40315</v>
      </c>
      <c r="H49" s="5">
        <v>100043666</v>
      </c>
      <c r="I49" s="14">
        <v>40318</v>
      </c>
      <c r="J49" s="5">
        <v>3999</v>
      </c>
      <c r="K49" s="15">
        <v>9.33</v>
      </c>
      <c r="L49" s="15">
        <v>6.92</v>
      </c>
      <c r="M49" s="15">
        <v>37310.67</v>
      </c>
      <c r="N49" s="15">
        <v>27673.079999999998</v>
      </c>
      <c r="O49" s="16">
        <v>9637.59</v>
      </c>
    </row>
    <row r="50" spans="2:15" ht="18.75" hidden="1" x14ac:dyDescent="0.25">
      <c r="B50" s="4" t="s">
        <v>60</v>
      </c>
      <c r="C50" s="5" t="s">
        <v>61</v>
      </c>
      <c r="D50" s="5" t="s">
        <v>93</v>
      </c>
      <c r="E50" s="5" t="s">
        <v>54</v>
      </c>
      <c r="F50" s="5" t="s">
        <v>55</v>
      </c>
      <c r="G50" s="14">
        <v>41452</v>
      </c>
      <c r="H50" s="5">
        <v>100044095</v>
      </c>
      <c r="I50" s="14">
        <v>41502</v>
      </c>
      <c r="J50" s="5">
        <v>4126</v>
      </c>
      <c r="K50" s="15">
        <v>81.73</v>
      </c>
      <c r="L50" s="15">
        <v>56.67</v>
      </c>
      <c r="M50" s="15">
        <v>337217.98000000004</v>
      </c>
      <c r="N50" s="15">
        <v>233820.42</v>
      </c>
      <c r="O50" s="16">
        <v>103397.56000000003</v>
      </c>
    </row>
    <row r="51" spans="2:15" ht="18.75" hidden="1" x14ac:dyDescent="0.25">
      <c r="B51" s="4" t="s">
        <v>51</v>
      </c>
      <c r="C51" s="5" t="s">
        <v>122</v>
      </c>
      <c r="D51" s="5" t="s">
        <v>58</v>
      </c>
      <c r="E51" s="5" t="s">
        <v>54</v>
      </c>
      <c r="F51" s="5" t="s">
        <v>55</v>
      </c>
      <c r="G51" s="14">
        <v>42590</v>
      </c>
      <c r="H51" s="5">
        <v>100044524</v>
      </c>
      <c r="I51" s="14">
        <v>42635</v>
      </c>
      <c r="J51" s="5">
        <v>4253</v>
      </c>
      <c r="K51" s="15">
        <v>255.28</v>
      </c>
      <c r="L51" s="15">
        <v>159.41999999999999</v>
      </c>
      <c r="M51" s="15">
        <v>1085705.8400000001</v>
      </c>
      <c r="N51" s="15">
        <v>678013.25999999989</v>
      </c>
      <c r="O51" s="16">
        <v>407692.58000000019</v>
      </c>
    </row>
    <row r="52" spans="2:15" ht="18.75" hidden="1" x14ac:dyDescent="0.25">
      <c r="B52" s="4" t="s">
        <v>74</v>
      </c>
      <c r="C52" s="5" t="s">
        <v>123</v>
      </c>
      <c r="D52" s="5" t="s">
        <v>68</v>
      </c>
      <c r="E52" s="5" t="s">
        <v>54</v>
      </c>
      <c r="F52" s="5" t="s">
        <v>59</v>
      </c>
      <c r="G52" s="14">
        <v>40905</v>
      </c>
      <c r="H52" s="5">
        <v>100045382</v>
      </c>
      <c r="I52" s="14">
        <v>40942</v>
      </c>
      <c r="J52" s="5">
        <v>4507</v>
      </c>
      <c r="K52" s="15">
        <v>109.28</v>
      </c>
      <c r="L52" s="15">
        <v>35.840000000000003</v>
      </c>
      <c r="M52" s="15">
        <v>492524.96</v>
      </c>
      <c r="N52" s="15">
        <v>161530.88</v>
      </c>
      <c r="O52" s="16">
        <v>330994.08</v>
      </c>
    </row>
    <row r="53" spans="2:15" ht="18.75" hidden="1" x14ac:dyDescent="0.25">
      <c r="B53" s="4" t="s">
        <v>56</v>
      </c>
      <c r="C53" s="5" t="s">
        <v>124</v>
      </c>
      <c r="D53" s="5" t="s">
        <v>93</v>
      </c>
      <c r="E53" s="5" t="s">
        <v>54</v>
      </c>
      <c r="F53" s="5" t="s">
        <v>55</v>
      </c>
      <c r="G53" s="14">
        <v>42633</v>
      </c>
      <c r="H53" s="5">
        <v>100047528</v>
      </c>
      <c r="I53" s="14">
        <v>42648</v>
      </c>
      <c r="J53" s="5">
        <v>5142</v>
      </c>
      <c r="K53" s="15">
        <v>81.73</v>
      </c>
      <c r="L53" s="15">
        <v>56.67</v>
      </c>
      <c r="M53" s="15">
        <v>420255.66000000003</v>
      </c>
      <c r="N53" s="15">
        <v>291397.14</v>
      </c>
      <c r="O53" s="16">
        <v>128858.52000000002</v>
      </c>
    </row>
    <row r="54" spans="2:15" ht="18.75" hidden="1" x14ac:dyDescent="0.25">
      <c r="B54" s="4" t="s">
        <v>51</v>
      </c>
      <c r="C54" s="5" t="s">
        <v>125</v>
      </c>
      <c r="D54" s="5" t="s">
        <v>58</v>
      </c>
      <c r="E54" s="5" t="s">
        <v>54</v>
      </c>
      <c r="F54" s="5" t="s">
        <v>70</v>
      </c>
      <c r="G54" s="14">
        <v>43770</v>
      </c>
      <c r="H54" s="5">
        <v>100047957</v>
      </c>
      <c r="I54" s="14">
        <v>43780</v>
      </c>
      <c r="J54" s="5">
        <v>5269</v>
      </c>
      <c r="K54" s="15">
        <v>255.28</v>
      </c>
      <c r="L54" s="15">
        <v>159.41999999999999</v>
      </c>
      <c r="M54" s="15">
        <v>1345070.32</v>
      </c>
      <c r="N54" s="15">
        <v>839983.98</v>
      </c>
      <c r="O54" s="16">
        <v>505086.34000000008</v>
      </c>
    </row>
    <row r="55" spans="2:15" ht="18.75" hidden="1" x14ac:dyDescent="0.25">
      <c r="B55" s="4" t="s">
        <v>81</v>
      </c>
      <c r="C55" s="5" t="s">
        <v>126</v>
      </c>
      <c r="D55" s="5" t="s">
        <v>96</v>
      </c>
      <c r="E55" s="5" t="s">
        <v>54</v>
      </c>
      <c r="F55" s="5" t="s">
        <v>70</v>
      </c>
      <c r="G55" s="14">
        <v>40948</v>
      </c>
      <c r="H55" s="5">
        <v>100048387</v>
      </c>
      <c r="I55" s="14">
        <v>40954</v>
      </c>
      <c r="J55" s="5">
        <v>5396</v>
      </c>
      <c r="K55" s="15">
        <v>154.06</v>
      </c>
      <c r="L55" s="15">
        <v>90.93</v>
      </c>
      <c r="M55" s="15">
        <v>831307.76</v>
      </c>
      <c r="N55" s="15">
        <v>490658.28</v>
      </c>
      <c r="O55" s="16">
        <v>340649.48</v>
      </c>
    </row>
    <row r="56" spans="2:15" ht="18.75" hidden="1" x14ac:dyDescent="0.25">
      <c r="B56" s="4" t="s">
        <v>60</v>
      </c>
      <c r="C56" s="5" t="s">
        <v>127</v>
      </c>
      <c r="D56" s="5" t="s">
        <v>68</v>
      </c>
      <c r="E56" s="5" t="s">
        <v>54</v>
      </c>
      <c r="F56" s="5" t="s">
        <v>59</v>
      </c>
      <c r="G56" s="14">
        <v>42086</v>
      </c>
      <c r="H56" s="5">
        <v>100048816</v>
      </c>
      <c r="I56" s="14">
        <v>42088</v>
      </c>
      <c r="J56" s="5">
        <v>5523</v>
      </c>
      <c r="K56" s="15">
        <v>109.28</v>
      </c>
      <c r="L56" s="15">
        <v>35.840000000000003</v>
      </c>
      <c r="M56" s="15">
        <v>603553.44000000006</v>
      </c>
      <c r="N56" s="15">
        <v>197944.32000000001</v>
      </c>
      <c r="O56" s="16">
        <v>405609.12000000005</v>
      </c>
    </row>
    <row r="57" spans="2:15" ht="18.75" hidden="1" x14ac:dyDescent="0.25">
      <c r="B57" s="4" t="s">
        <v>51</v>
      </c>
      <c r="C57" s="5" t="s">
        <v>128</v>
      </c>
      <c r="D57" s="5" t="s">
        <v>100</v>
      </c>
      <c r="E57" s="5" t="s">
        <v>54</v>
      </c>
      <c r="F57" s="5" t="s">
        <v>59</v>
      </c>
      <c r="G57" s="14">
        <v>43223</v>
      </c>
      <c r="H57" s="5">
        <v>100049245</v>
      </c>
      <c r="I57" s="14">
        <v>43271</v>
      </c>
      <c r="J57" s="5">
        <v>5650</v>
      </c>
      <c r="K57" s="15">
        <v>205.7</v>
      </c>
      <c r="L57" s="15">
        <v>117.11</v>
      </c>
      <c r="M57" s="15">
        <v>1162205</v>
      </c>
      <c r="N57" s="15">
        <v>661671.5</v>
      </c>
      <c r="O57" s="16">
        <v>500533.5</v>
      </c>
    </row>
    <row r="58" spans="2:15" ht="18.75" hidden="1" x14ac:dyDescent="0.25">
      <c r="B58" s="4" t="s">
        <v>81</v>
      </c>
      <c r="C58" s="5" t="s">
        <v>129</v>
      </c>
      <c r="D58" s="5" t="s">
        <v>76</v>
      </c>
      <c r="E58" s="5" t="s">
        <v>54</v>
      </c>
      <c r="F58" s="5" t="s">
        <v>63</v>
      </c>
      <c r="G58" s="14">
        <v>40401</v>
      </c>
      <c r="H58" s="5">
        <v>100049674</v>
      </c>
      <c r="I58" s="14">
        <v>40445</v>
      </c>
      <c r="J58" s="5">
        <v>5777</v>
      </c>
      <c r="K58" s="15">
        <v>421.89</v>
      </c>
      <c r="L58" s="15">
        <v>364.69</v>
      </c>
      <c r="M58" s="15">
        <v>2437258.5299999998</v>
      </c>
      <c r="N58" s="15">
        <v>2106814.13</v>
      </c>
      <c r="O58" s="16">
        <v>330444.39999999991</v>
      </c>
    </row>
    <row r="59" spans="2:15" ht="18.75" hidden="1" x14ac:dyDescent="0.25">
      <c r="B59" s="4" t="s">
        <v>60</v>
      </c>
      <c r="C59" s="5" t="s">
        <v>130</v>
      </c>
      <c r="D59" s="5" t="s">
        <v>88</v>
      </c>
      <c r="E59" s="5" t="s">
        <v>54</v>
      </c>
      <c r="F59" s="5" t="s">
        <v>55</v>
      </c>
      <c r="G59" s="14">
        <v>41539</v>
      </c>
      <c r="H59" s="5">
        <v>100050103</v>
      </c>
      <c r="I59" s="14">
        <v>41579</v>
      </c>
      <c r="J59" s="5">
        <v>5904</v>
      </c>
      <c r="K59" s="15">
        <v>152.58000000000001</v>
      </c>
      <c r="L59" s="15">
        <v>97.44</v>
      </c>
      <c r="M59" s="15">
        <v>900832.32000000007</v>
      </c>
      <c r="N59" s="15">
        <v>575285.76000000001</v>
      </c>
      <c r="O59" s="16">
        <v>325546.56000000006</v>
      </c>
    </row>
    <row r="60" spans="2:15" ht="18.75" hidden="1" x14ac:dyDescent="0.25">
      <c r="B60" s="4" t="s">
        <v>72</v>
      </c>
      <c r="C60" s="5" t="s">
        <v>131</v>
      </c>
      <c r="D60" s="5" t="s">
        <v>53</v>
      </c>
      <c r="E60" s="5" t="s">
        <v>132</v>
      </c>
      <c r="F60" s="5" t="s">
        <v>55</v>
      </c>
      <c r="G60" s="14">
        <v>42676</v>
      </c>
      <c r="H60" s="5">
        <v>100050532</v>
      </c>
      <c r="I60" s="14">
        <v>42711</v>
      </c>
      <c r="J60" s="5">
        <v>6031</v>
      </c>
      <c r="K60" s="15">
        <v>9.33</v>
      </c>
      <c r="L60" s="15">
        <v>6.92</v>
      </c>
      <c r="M60" s="15">
        <v>56269.23</v>
      </c>
      <c r="N60" s="15">
        <v>41734.519999999997</v>
      </c>
      <c r="O60" s="16">
        <v>14534.710000000006</v>
      </c>
    </row>
    <row r="61" spans="2:15" ht="18.75" hidden="1" x14ac:dyDescent="0.25">
      <c r="B61" s="4" t="s">
        <v>81</v>
      </c>
      <c r="C61" s="5" t="s">
        <v>133</v>
      </c>
      <c r="D61" s="5" t="s">
        <v>93</v>
      </c>
      <c r="E61" s="5" t="s">
        <v>132</v>
      </c>
      <c r="F61" s="5" t="s">
        <v>70</v>
      </c>
      <c r="G61" s="14">
        <v>43813</v>
      </c>
      <c r="H61" s="5">
        <v>100050961</v>
      </c>
      <c r="I61" s="14">
        <v>43844</v>
      </c>
      <c r="J61" s="5">
        <v>6158</v>
      </c>
      <c r="K61" s="15">
        <v>81.73</v>
      </c>
      <c r="L61" s="15">
        <v>56.67</v>
      </c>
      <c r="M61" s="15">
        <v>503293.34</v>
      </c>
      <c r="N61" s="15">
        <v>348973.86</v>
      </c>
      <c r="O61" s="16">
        <v>154319.48000000004</v>
      </c>
    </row>
    <row r="62" spans="2:15" ht="18.75" hidden="1" x14ac:dyDescent="0.25">
      <c r="B62" s="4" t="s">
        <v>72</v>
      </c>
      <c r="C62" s="5" t="s">
        <v>134</v>
      </c>
      <c r="D62" s="5" t="s">
        <v>96</v>
      </c>
      <c r="E62" s="5" t="s">
        <v>132</v>
      </c>
      <c r="F62" s="5" t="s">
        <v>59</v>
      </c>
      <c r="G62" s="14">
        <v>42129</v>
      </c>
      <c r="H62" s="5">
        <v>100051820</v>
      </c>
      <c r="I62" s="14">
        <v>42151</v>
      </c>
      <c r="J62" s="5">
        <v>6412</v>
      </c>
      <c r="K62" s="15">
        <v>154.06</v>
      </c>
      <c r="L62" s="15">
        <v>90.93</v>
      </c>
      <c r="M62" s="15">
        <v>987832.72</v>
      </c>
      <c r="N62" s="15">
        <v>583043.16</v>
      </c>
      <c r="O62" s="16">
        <v>404789.55999999994</v>
      </c>
    </row>
    <row r="63" spans="2:15" ht="18.75" hidden="1" x14ac:dyDescent="0.25">
      <c r="B63" s="4" t="s">
        <v>56</v>
      </c>
      <c r="C63" s="5" t="s">
        <v>135</v>
      </c>
      <c r="D63" s="5" t="s">
        <v>68</v>
      </c>
      <c r="E63" s="5" t="s">
        <v>132</v>
      </c>
      <c r="F63" s="5" t="s">
        <v>59</v>
      </c>
      <c r="G63" s="14">
        <v>43266</v>
      </c>
      <c r="H63" s="5">
        <v>100052249</v>
      </c>
      <c r="I63" s="14">
        <v>43284</v>
      </c>
      <c r="J63" s="5">
        <v>6539</v>
      </c>
      <c r="K63" s="15">
        <v>109.28</v>
      </c>
      <c r="L63" s="15">
        <v>35.840000000000003</v>
      </c>
      <c r="M63" s="15">
        <v>714581.92</v>
      </c>
      <c r="N63" s="15">
        <v>234357.76000000001</v>
      </c>
      <c r="O63" s="16">
        <v>480224.16000000003</v>
      </c>
    </row>
    <row r="64" spans="2:15" ht="18.75" hidden="1" x14ac:dyDescent="0.25">
      <c r="B64" s="4" t="s">
        <v>51</v>
      </c>
      <c r="C64" s="5" t="s">
        <v>136</v>
      </c>
      <c r="D64" s="5" t="s">
        <v>100</v>
      </c>
      <c r="E64" s="5" t="s">
        <v>132</v>
      </c>
      <c r="F64" s="5" t="s">
        <v>63</v>
      </c>
      <c r="G64" s="14">
        <v>40444</v>
      </c>
      <c r="H64" s="5">
        <v>100052678</v>
      </c>
      <c r="I64" s="14">
        <v>40458</v>
      </c>
      <c r="J64" s="5">
        <v>6666</v>
      </c>
      <c r="K64" s="15">
        <v>205.7</v>
      </c>
      <c r="L64" s="15">
        <v>117.11</v>
      </c>
      <c r="M64" s="15">
        <v>1371196.2</v>
      </c>
      <c r="N64" s="15">
        <v>780655.26</v>
      </c>
      <c r="O64" s="16">
        <v>590540.93999999994</v>
      </c>
    </row>
    <row r="65" spans="2:15" ht="18.75" hidden="1" x14ac:dyDescent="0.25">
      <c r="B65" s="4" t="s">
        <v>81</v>
      </c>
      <c r="C65" s="5" t="s">
        <v>82</v>
      </c>
      <c r="D65" s="5" t="s">
        <v>76</v>
      </c>
      <c r="E65" s="5" t="s">
        <v>132</v>
      </c>
      <c r="F65" s="5" t="s">
        <v>63</v>
      </c>
      <c r="G65" s="14">
        <v>41582</v>
      </c>
      <c r="H65" s="5">
        <v>100053107</v>
      </c>
      <c r="I65" s="14">
        <v>41591</v>
      </c>
      <c r="J65" s="5">
        <v>6793</v>
      </c>
      <c r="K65" s="15">
        <v>421.89</v>
      </c>
      <c r="L65" s="15">
        <v>364.69</v>
      </c>
      <c r="M65" s="15">
        <v>2865898.77</v>
      </c>
      <c r="N65" s="15">
        <v>2477339.17</v>
      </c>
      <c r="O65" s="16">
        <v>388559.60000000009</v>
      </c>
    </row>
    <row r="66" spans="2:15" ht="18.75" hidden="1" x14ac:dyDescent="0.25">
      <c r="B66" s="4" t="s">
        <v>51</v>
      </c>
      <c r="C66" s="5" t="s">
        <v>137</v>
      </c>
      <c r="D66" s="5" t="s">
        <v>53</v>
      </c>
      <c r="E66" s="5" t="s">
        <v>132</v>
      </c>
      <c r="F66" s="5" t="s">
        <v>55</v>
      </c>
      <c r="G66" s="14">
        <v>43856</v>
      </c>
      <c r="H66" s="5">
        <v>100053966</v>
      </c>
      <c r="I66" s="14">
        <v>43856</v>
      </c>
      <c r="J66" s="5">
        <v>7047</v>
      </c>
      <c r="K66" s="15">
        <v>9.33</v>
      </c>
      <c r="L66" s="15">
        <v>6.92</v>
      </c>
      <c r="M66" s="15">
        <v>65748.509999999995</v>
      </c>
      <c r="N66" s="15">
        <v>48765.24</v>
      </c>
      <c r="O66" s="16">
        <v>16983.269999999997</v>
      </c>
    </row>
    <row r="67" spans="2:15" ht="18.75" hidden="1" x14ac:dyDescent="0.25">
      <c r="B67" s="4" t="s">
        <v>81</v>
      </c>
      <c r="C67" s="5" t="s">
        <v>138</v>
      </c>
      <c r="D67" s="5" t="s">
        <v>93</v>
      </c>
      <c r="E67" s="5" t="s">
        <v>132</v>
      </c>
      <c r="F67" s="5" t="s">
        <v>70</v>
      </c>
      <c r="G67" s="14">
        <v>41035</v>
      </c>
      <c r="H67" s="5">
        <v>100054395</v>
      </c>
      <c r="I67" s="14">
        <v>41082</v>
      </c>
      <c r="J67" s="5">
        <v>7174</v>
      </c>
      <c r="K67" s="15">
        <v>81.73</v>
      </c>
      <c r="L67" s="15">
        <v>56.67</v>
      </c>
      <c r="M67" s="15">
        <v>586331.02</v>
      </c>
      <c r="N67" s="15">
        <v>406550.58</v>
      </c>
      <c r="O67" s="16">
        <v>179780.44</v>
      </c>
    </row>
    <row r="68" spans="2:15" ht="18.75" hidden="1" x14ac:dyDescent="0.25">
      <c r="B68" s="4" t="s">
        <v>60</v>
      </c>
      <c r="C68" s="5" t="s">
        <v>139</v>
      </c>
      <c r="D68" s="5" t="s">
        <v>58</v>
      </c>
      <c r="E68" s="5" t="s">
        <v>132</v>
      </c>
      <c r="F68" s="5" t="s">
        <v>59</v>
      </c>
      <c r="G68" s="14">
        <v>42172</v>
      </c>
      <c r="H68" s="5">
        <v>100054824</v>
      </c>
      <c r="I68" s="14">
        <v>42215</v>
      </c>
      <c r="J68" s="5">
        <v>7301</v>
      </c>
      <c r="K68" s="15">
        <v>255.28</v>
      </c>
      <c r="L68" s="15">
        <v>159.41999999999999</v>
      </c>
      <c r="M68" s="15">
        <v>1863799.28</v>
      </c>
      <c r="N68" s="15">
        <v>1163925.42</v>
      </c>
      <c r="O68" s="16">
        <v>699873.8600000001</v>
      </c>
    </row>
    <row r="69" spans="2:15" ht="18.75" hidden="1" x14ac:dyDescent="0.25">
      <c r="B69" s="4" t="s">
        <v>81</v>
      </c>
      <c r="C69" s="5" t="s">
        <v>140</v>
      </c>
      <c r="D69" s="5" t="s">
        <v>68</v>
      </c>
      <c r="E69" s="5" t="s">
        <v>132</v>
      </c>
      <c r="F69" s="5" t="s">
        <v>63</v>
      </c>
      <c r="G69" s="14">
        <v>40488</v>
      </c>
      <c r="H69" s="5">
        <v>100055682</v>
      </c>
      <c r="I69" s="14">
        <v>40522</v>
      </c>
      <c r="J69" s="5">
        <v>7555</v>
      </c>
      <c r="K69" s="15">
        <v>109.28</v>
      </c>
      <c r="L69" s="15">
        <v>35.840000000000003</v>
      </c>
      <c r="M69" s="15">
        <v>825610.4</v>
      </c>
      <c r="N69" s="15">
        <v>270771.20000000001</v>
      </c>
      <c r="O69" s="16">
        <v>554839.19999999995</v>
      </c>
    </row>
    <row r="70" spans="2:15" ht="18.75" hidden="1" x14ac:dyDescent="0.25">
      <c r="B70" s="4" t="s">
        <v>74</v>
      </c>
      <c r="C70" s="5" t="s">
        <v>141</v>
      </c>
      <c r="D70" s="5" t="s">
        <v>62</v>
      </c>
      <c r="E70" s="5" t="s">
        <v>132</v>
      </c>
      <c r="F70" s="5" t="s">
        <v>63</v>
      </c>
      <c r="G70" s="14">
        <v>41625</v>
      </c>
      <c r="H70" s="5">
        <v>100056111</v>
      </c>
      <c r="I70" s="14">
        <v>41655</v>
      </c>
      <c r="J70" s="5">
        <v>7682</v>
      </c>
      <c r="K70" s="15">
        <v>437.2</v>
      </c>
      <c r="L70" s="15">
        <v>263.33</v>
      </c>
      <c r="M70" s="15">
        <v>3358570.4</v>
      </c>
      <c r="N70" s="15">
        <v>2022901.0599999998</v>
      </c>
      <c r="O70" s="16">
        <v>1335669.3400000001</v>
      </c>
    </row>
    <row r="71" spans="2:15" ht="18.75" hidden="1" x14ac:dyDescent="0.25">
      <c r="B71" s="4" t="s">
        <v>81</v>
      </c>
      <c r="C71" s="5" t="s">
        <v>142</v>
      </c>
      <c r="D71" s="5" t="s">
        <v>80</v>
      </c>
      <c r="E71" s="5" t="s">
        <v>132</v>
      </c>
      <c r="F71" s="5" t="s">
        <v>70</v>
      </c>
      <c r="G71" s="14">
        <v>42215</v>
      </c>
      <c r="H71" s="5">
        <v>100057828</v>
      </c>
      <c r="I71" s="14">
        <v>42227</v>
      </c>
      <c r="J71" s="5">
        <v>8190</v>
      </c>
      <c r="K71" s="15">
        <v>668.27</v>
      </c>
      <c r="L71" s="15">
        <v>502.54</v>
      </c>
      <c r="M71" s="15">
        <v>5473131.2999999998</v>
      </c>
      <c r="N71" s="15">
        <v>4115802.6</v>
      </c>
      <c r="O71" s="16">
        <v>1357328.6999999997</v>
      </c>
    </row>
    <row r="72" spans="2:15" ht="18.75" hidden="1" x14ac:dyDescent="0.25">
      <c r="B72" s="4" t="s">
        <v>56</v>
      </c>
      <c r="C72" s="5" t="s">
        <v>143</v>
      </c>
      <c r="D72" s="5" t="s">
        <v>58</v>
      </c>
      <c r="E72" s="5" t="s">
        <v>132</v>
      </c>
      <c r="F72" s="5" t="s">
        <v>59</v>
      </c>
      <c r="G72" s="14">
        <v>43352</v>
      </c>
      <c r="H72" s="5">
        <v>100058257</v>
      </c>
      <c r="I72" s="14">
        <v>43360</v>
      </c>
      <c r="J72" s="5">
        <v>8317</v>
      </c>
      <c r="K72" s="15">
        <v>255.28</v>
      </c>
      <c r="L72" s="15">
        <v>159.41999999999999</v>
      </c>
      <c r="M72" s="15">
        <v>2123163.7600000002</v>
      </c>
      <c r="N72" s="15">
        <v>1325896.1399999999</v>
      </c>
      <c r="O72" s="16">
        <v>797267.62000000034</v>
      </c>
    </row>
    <row r="73" spans="2:15" ht="18.75" hidden="1" x14ac:dyDescent="0.25">
      <c r="B73" s="4" t="s">
        <v>51</v>
      </c>
      <c r="C73" s="5" t="s">
        <v>144</v>
      </c>
      <c r="D73" s="5" t="s">
        <v>65</v>
      </c>
      <c r="E73" s="5" t="s">
        <v>132</v>
      </c>
      <c r="F73" s="5" t="s">
        <v>59</v>
      </c>
      <c r="G73" s="14">
        <v>40531</v>
      </c>
      <c r="H73" s="5">
        <v>100058686</v>
      </c>
      <c r="I73" s="14">
        <v>40535</v>
      </c>
      <c r="J73" s="5">
        <v>8444</v>
      </c>
      <c r="K73" s="15">
        <v>651.21</v>
      </c>
      <c r="L73" s="15">
        <v>524.96</v>
      </c>
      <c r="M73" s="15">
        <v>5498817.2400000002</v>
      </c>
      <c r="N73" s="15">
        <v>4432762.24</v>
      </c>
      <c r="O73" s="16">
        <v>1066055</v>
      </c>
    </row>
    <row r="74" spans="2:15" ht="18.75" hidden="1" x14ac:dyDescent="0.25">
      <c r="B74" s="4" t="s">
        <v>81</v>
      </c>
      <c r="C74" s="5" t="s">
        <v>145</v>
      </c>
      <c r="D74" s="5" t="s">
        <v>68</v>
      </c>
      <c r="E74" s="5" t="s">
        <v>132</v>
      </c>
      <c r="F74" s="5" t="s">
        <v>63</v>
      </c>
      <c r="G74" s="14">
        <v>41668</v>
      </c>
      <c r="H74" s="5">
        <v>100059115</v>
      </c>
      <c r="I74" s="14">
        <v>41718</v>
      </c>
      <c r="J74" s="5">
        <v>8571</v>
      </c>
      <c r="K74" s="15">
        <v>109.28</v>
      </c>
      <c r="L74" s="15">
        <v>35.840000000000003</v>
      </c>
      <c r="M74" s="15">
        <v>936638.88</v>
      </c>
      <c r="N74" s="15">
        <v>307184.64000000001</v>
      </c>
      <c r="O74" s="16">
        <v>629454.24</v>
      </c>
    </row>
    <row r="75" spans="2:15" ht="18.75" hidden="1" x14ac:dyDescent="0.25">
      <c r="B75" s="4" t="s">
        <v>60</v>
      </c>
      <c r="C75" s="5" t="s">
        <v>146</v>
      </c>
      <c r="D75" s="5" t="s">
        <v>62</v>
      </c>
      <c r="E75" s="5" t="s">
        <v>132</v>
      </c>
      <c r="F75" s="5" t="s">
        <v>55</v>
      </c>
      <c r="G75" s="14">
        <v>42805</v>
      </c>
      <c r="H75" s="5">
        <v>100059545</v>
      </c>
      <c r="I75" s="14">
        <v>42851</v>
      </c>
      <c r="J75" s="5">
        <v>8698</v>
      </c>
      <c r="K75" s="15">
        <v>437.2</v>
      </c>
      <c r="L75" s="15">
        <v>263.33</v>
      </c>
      <c r="M75" s="15">
        <v>3802765.6</v>
      </c>
      <c r="N75" s="15">
        <v>2290444.34</v>
      </c>
      <c r="O75" s="16">
        <v>1512321.2600000002</v>
      </c>
    </row>
    <row r="76" spans="2:15" ht="18.75" hidden="1" x14ac:dyDescent="0.25">
      <c r="B76" s="4" t="s">
        <v>74</v>
      </c>
      <c r="C76" s="5" t="s">
        <v>147</v>
      </c>
      <c r="D76" s="5" t="s">
        <v>53</v>
      </c>
      <c r="E76" s="5" t="s">
        <v>132</v>
      </c>
      <c r="F76" s="5" t="s">
        <v>70</v>
      </c>
      <c r="G76" s="14">
        <v>42258</v>
      </c>
      <c r="H76" s="5">
        <v>100060832</v>
      </c>
      <c r="I76" s="14">
        <v>42291</v>
      </c>
      <c r="J76" s="5">
        <v>9079</v>
      </c>
      <c r="K76" s="15">
        <v>9.33</v>
      </c>
      <c r="L76" s="15">
        <v>6.92</v>
      </c>
      <c r="M76" s="15">
        <v>84707.07</v>
      </c>
      <c r="N76" s="15">
        <v>62826.68</v>
      </c>
      <c r="O76" s="16">
        <v>21880.390000000007</v>
      </c>
    </row>
    <row r="77" spans="2:15" ht="18.75" hidden="1" x14ac:dyDescent="0.25">
      <c r="B77" s="4" t="s">
        <v>51</v>
      </c>
      <c r="C77" s="5" t="s">
        <v>94</v>
      </c>
      <c r="D77" s="5" t="s">
        <v>65</v>
      </c>
      <c r="E77" s="5" t="s">
        <v>132</v>
      </c>
      <c r="F77" s="5" t="s">
        <v>63</v>
      </c>
      <c r="G77" s="14">
        <v>41711</v>
      </c>
      <c r="H77" s="5">
        <v>100062119</v>
      </c>
      <c r="I77" s="14">
        <v>41731</v>
      </c>
      <c r="J77" s="5">
        <v>9460</v>
      </c>
      <c r="K77" s="15">
        <v>651.21</v>
      </c>
      <c r="L77" s="15">
        <v>524.96</v>
      </c>
      <c r="M77" s="15">
        <v>6160446.6000000006</v>
      </c>
      <c r="N77" s="15">
        <v>4966121.6000000006</v>
      </c>
      <c r="O77" s="16">
        <v>1194325</v>
      </c>
    </row>
    <row r="78" spans="2:15" ht="18.75" hidden="1" x14ac:dyDescent="0.25">
      <c r="B78" s="4" t="s">
        <v>81</v>
      </c>
      <c r="C78" s="5" t="s">
        <v>148</v>
      </c>
      <c r="D78" s="5" t="s">
        <v>78</v>
      </c>
      <c r="E78" s="5" t="s">
        <v>132</v>
      </c>
      <c r="F78" s="5" t="s">
        <v>70</v>
      </c>
      <c r="G78" s="14">
        <v>42301</v>
      </c>
      <c r="H78" s="5">
        <v>100063836</v>
      </c>
      <c r="I78" s="14">
        <v>42303</v>
      </c>
      <c r="J78" s="5">
        <v>9968</v>
      </c>
      <c r="K78" s="15">
        <v>47.45</v>
      </c>
      <c r="L78" s="15">
        <v>31.79</v>
      </c>
      <c r="M78" s="15">
        <v>472981.60000000003</v>
      </c>
      <c r="N78" s="15">
        <v>316882.71999999997</v>
      </c>
      <c r="O78" s="16">
        <v>156098.88000000006</v>
      </c>
    </row>
    <row r="79" spans="2:15" ht="18.75" hidden="1" x14ac:dyDescent="0.25">
      <c r="B79" s="4" t="s">
        <v>60</v>
      </c>
      <c r="C79" s="5" t="s">
        <v>149</v>
      </c>
      <c r="D79" s="5" t="s">
        <v>65</v>
      </c>
      <c r="E79" s="5" t="s">
        <v>132</v>
      </c>
      <c r="F79" s="5" t="s">
        <v>63</v>
      </c>
      <c r="G79" s="14">
        <v>42892</v>
      </c>
      <c r="H79" s="5">
        <v>100065553</v>
      </c>
      <c r="I79" s="14">
        <v>42928</v>
      </c>
      <c r="J79" s="5">
        <v>476</v>
      </c>
      <c r="K79" s="15">
        <v>651.21</v>
      </c>
      <c r="L79" s="15">
        <v>524.96</v>
      </c>
      <c r="M79" s="15">
        <v>309975.96000000002</v>
      </c>
      <c r="N79" s="15">
        <v>249880.96000000002</v>
      </c>
      <c r="O79" s="16">
        <v>60095</v>
      </c>
    </row>
    <row r="80" spans="2:15" ht="18.75" hidden="1" x14ac:dyDescent="0.25">
      <c r="B80" s="4" t="s">
        <v>81</v>
      </c>
      <c r="C80" s="5" t="s">
        <v>150</v>
      </c>
      <c r="D80" s="5" t="s">
        <v>62</v>
      </c>
      <c r="E80" s="5" t="s">
        <v>132</v>
      </c>
      <c r="F80" s="5" t="s">
        <v>55</v>
      </c>
      <c r="G80" s="14">
        <v>41207</v>
      </c>
      <c r="H80" s="5">
        <v>100066411</v>
      </c>
      <c r="I80" s="14">
        <v>41234</v>
      </c>
      <c r="J80" s="5">
        <v>730</v>
      </c>
      <c r="K80" s="15">
        <v>437.2</v>
      </c>
      <c r="L80" s="15">
        <v>263.33</v>
      </c>
      <c r="M80" s="15">
        <v>319156</v>
      </c>
      <c r="N80" s="15">
        <v>192230.9</v>
      </c>
      <c r="O80" s="16">
        <v>126925.1</v>
      </c>
    </row>
    <row r="81" spans="2:15" ht="18.75" hidden="1" x14ac:dyDescent="0.25">
      <c r="B81" s="4" t="s">
        <v>72</v>
      </c>
      <c r="C81" s="5" t="s">
        <v>101</v>
      </c>
      <c r="D81" s="5" t="s">
        <v>78</v>
      </c>
      <c r="E81" s="5" t="s">
        <v>132</v>
      </c>
      <c r="F81" s="5" t="s">
        <v>70</v>
      </c>
      <c r="G81" s="14">
        <v>43482</v>
      </c>
      <c r="H81" s="5">
        <v>100067269</v>
      </c>
      <c r="I81" s="14">
        <v>43500</v>
      </c>
      <c r="J81" s="5">
        <v>984</v>
      </c>
      <c r="K81" s="15">
        <v>47.45</v>
      </c>
      <c r="L81" s="15">
        <v>31.79</v>
      </c>
      <c r="M81" s="15">
        <v>46690.8</v>
      </c>
      <c r="N81" s="15">
        <v>31281.360000000001</v>
      </c>
      <c r="O81" s="16">
        <v>15409.440000000002</v>
      </c>
    </row>
    <row r="82" spans="2:15" ht="18.75" hidden="1" x14ac:dyDescent="0.25">
      <c r="B82" s="4" t="s">
        <v>51</v>
      </c>
      <c r="C82" s="5" t="s">
        <v>151</v>
      </c>
      <c r="D82" s="5" t="s">
        <v>80</v>
      </c>
      <c r="E82" s="5" t="s">
        <v>132</v>
      </c>
      <c r="F82" s="5" t="s">
        <v>59</v>
      </c>
      <c r="G82" s="14">
        <v>41798</v>
      </c>
      <c r="H82" s="5">
        <v>100068128</v>
      </c>
      <c r="I82" s="14">
        <v>41808</v>
      </c>
      <c r="J82" s="5">
        <v>1238</v>
      </c>
      <c r="K82" s="15">
        <v>668.27</v>
      </c>
      <c r="L82" s="15">
        <v>502.54</v>
      </c>
      <c r="M82" s="15">
        <v>827318.26</v>
      </c>
      <c r="N82" s="15">
        <v>622144.52</v>
      </c>
      <c r="O82" s="16">
        <v>205173.74</v>
      </c>
    </row>
    <row r="83" spans="2:15" ht="18.75" hidden="1" x14ac:dyDescent="0.25">
      <c r="B83" s="4" t="s">
        <v>81</v>
      </c>
      <c r="C83" s="5" t="s">
        <v>152</v>
      </c>
      <c r="D83" s="5" t="s">
        <v>58</v>
      </c>
      <c r="E83" s="5" t="s">
        <v>132</v>
      </c>
      <c r="F83" s="5" t="s">
        <v>63</v>
      </c>
      <c r="G83" s="14">
        <v>42935</v>
      </c>
      <c r="H83" s="5">
        <v>100068557</v>
      </c>
      <c r="I83" s="14">
        <v>42940</v>
      </c>
      <c r="J83" s="5">
        <v>1365</v>
      </c>
      <c r="K83" s="15">
        <v>255.28</v>
      </c>
      <c r="L83" s="15">
        <v>159.41999999999999</v>
      </c>
      <c r="M83" s="15">
        <v>348457.2</v>
      </c>
      <c r="N83" s="15">
        <v>217608.3</v>
      </c>
      <c r="O83" s="16">
        <v>130848.90000000002</v>
      </c>
    </row>
    <row r="84" spans="2:15" ht="18.75" hidden="1" x14ac:dyDescent="0.25">
      <c r="B84" s="4" t="s">
        <v>51</v>
      </c>
      <c r="C84" s="5" t="s">
        <v>153</v>
      </c>
      <c r="D84" s="5" t="s">
        <v>68</v>
      </c>
      <c r="E84" s="5" t="s">
        <v>132</v>
      </c>
      <c r="F84" s="5" t="s">
        <v>55</v>
      </c>
      <c r="G84" s="14">
        <v>41251</v>
      </c>
      <c r="H84" s="5">
        <v>100069415</v>
      </c>
      <c r="I84" s="14">
        <v>41299</v>
      </c>
      <c r="J84" s="5">
        <v>1619</v>
      </c>
      <c r="K84" s="15">
        <v>109.28</v>
      </c>
      <c r="L84" s="15">
        <v>35.840000000000003</v>
      </c>
      <c r="M84" s="15">
        <v>176924.32</v>
      </c>
      <c r="N84" s="15">
        <v>58024.960000000006</v>
      </c>
      <c r="O84" s="16">
        <v>118899.36</v>
      </c>
    </row>
    <row r="85" spans="2:15" ht="18.75" hidden="1" x14ac:dyDescent="0.25">
      <c r="B85" s="4" t="s">
        <v>51</v>
      </c>
      <c r="C85" s="5" t="s">
        <v>154</v>
      </c>
      <c r="D85" s="5" t="s">
        <v>78</v>
      </c>
      <c r="E85" s="5" t="s">
        <v>132</v>
      </c>
      <c r="F85" s="5" t="s">
        <v>59</v>
      </c>
      <c r="G85" s="14">
        <v>40703</v>
      </c>
      <c r="H85" s="5">
        <v>100070703</v>
      </c>
      <c r="I85" s="14">
        <v>40737</v>
      </c>
      <c r="J85" s="5">
        <v>2000</v>
      </c>
      <c r="K85" s="15">
        <v>47.45</v>
      </c>
      <c r="L85" s="15">
        <v>31.79</v>
      </c>
      <c r="M85" s="15">
        <v>94900</v>
      </c>
      <c r="N85" s="15">
        <v>63580</v>
      </c>
      <c r="O85" s="16">
        <v>31320</v>
      </c>
    </row>
    <row r="86" spans="2:15" ht="18.75" hidden="1" x14ac:dyDescent="0.25">
      <c r="B86" s="4" t="s">
        <v>74</v>
      </c>
      <c r="C86" s="5" t="s">
        <v>155</v>
      </c>
      <c r="D86" s="5" t="s">
        <v>80</v>
      </c>
      <c r="E86" s="5" t="s">
        <v>132</v>
      </c>
      <c r="F86" s="5" t="s">
        <v>63</v>
      </c>
      <c r="G86" s="14">
        <v>42978</v>
      </c>
      <c r="H86" s="5">
        <v>100071561</v>
      </c>
      <c r="I86" s="14">
        <v>43004</v>
      </c>
      <c r="J86" s="5">
        <v>2254</v>
      </c>
      <c r="K86" s="15">
        <v>668.27</v>
      </c>
      <c r="L86" s="15">
        <v>502.54</v>
      </c>
      <c r="M86" s="15">
        <v>1506280.58</v>
      </c>
      <c r="N86" s="15">
        <v>1132725.1600000001</v>
      </c>
      <c r="O86" s="16">
        <v>373555.41999999993</v>
      </c>
    </row>
    <row r="87" spans="2:15" ht="18.75" hidden="1" x14ac:dyDescent="0.25">
      <c r="B87" s="4" t="s">
        <v>56</v>
      </c>
      <c r="C87" s="5" t="s">
        <v>86</v>
      </c>
      <c r="D87" s="5" t="s">
        <v>65</v>
      </c>
      <c r="E87" s="5" t="s">
        <v>132</v>
      </c>
      <c r="F87" s="5" t="s">
        <v>55</v>
      </c>
      <c r="G87" s="14">
        <v>41294</v>
      </c>
      <c r="H87" s="5">
        <v>100072419</v>
      </c>
      <c r="I87" s="14">
        <v>41311</v>
      </c>
      <c r="J87" s="5">
        <v>2508</v>
      </c>
      <c r="K87" s="15">
        <v>651.21</v>
      </c>
      <c r="L87" s="15">
        <v>524.96</v>
      </c>
      <c r="M87" s="15">
        <v>1633234.6800000002</v>
      </c>
      <c r="N87" s="15">
        <v>1316599.6800000002</v>
      </c>
      <c r="O87" s="16">
        <v>316635</v>
      </c>
    </row>
    <row r="88" spans="2:15" ht="18.75" hidden="1" x14ac:dyDescent="0.25">
      <c r="B88" s="4" t="s">
        <v>56</v>
      </c>
      <c r="C88" s="5" t="s">
        <v>156</v>
      </c>
      <c r="D88" s="5" t="s">
        <v>76</v>
      </c>
      <c r="E88" s="5" t="s">
        <v>132</v>
      </c>
      <c r="F88" s="5" t="s">
        <v>70</v>
      </c>
      <c r="G88" s="14">
        <v>40747</v>
      </c>
      <c r="H88" s="5">
        <v>100073707</v>
      </c>
      <c r="I88" s="14">
        <v>40751</v>
      </c>
      <c r="J88" s="5">
        <v>2888</v>
      </c>
      <c r="K88" s="15">
        <v>421.89</v>
      </c>
      <c r="L88" s="15">
        <v>364.69</v>
      </c>
      <c r="M88" s="15">
        <v>1218418.32</v>
      </c>
      <c r="N88" s="15">
        <v>1053224.72</v>
      </c>
      <c r="O88" s="16">
        <v>165193.60000000009</v>
      </c>
    </row>
    <row r="89" spans="2:15" ht="18.75" hidden="1" x14ac:dyDescent="0.25">
      <c r="B89" s="4" t="s">
        <v>81</v>
      </c>
      <c r="C89" s="5" t="s">
        <v>157</v>
      </c>
      <c r="D89" s="5" t="s">
        <v>53</v>
      </c>
      <c r="E89" s="5" t="s">
        <v>132</v>
      </c>
      <c r="F89" s="5" t="s">
        <v>63</v>
      </c>
      <c r="G89" s="14">
        <v>43021</v>
      </c>
      <c r="H89" s="5">
        <v>100074565</v>
      </c>
      <c r="I89" s="14">
        <v>43067</v>
      </c>
      <c r="J89" s="5">
        <v>3142</v>
      </c>
      <c r="K89" s="15">
        <v>9.33</v>
      </c>
      <c r="L89" s="15">
        <v>6.92</v>
      </c>
      <c r="M89" s="15">
        <v>29314.86</v>
      </c>
      <c r="N89" s="15">
        <v>21742.639999999999</v>
      </c>
      <c r="O89" s="16">
        <v>7572.2200000000012</v>
      </c>
    </row>
    <row r="90" spans="2:15" ht="18.75" hidden="1" x14ac:dyDescent="0.25">
      <c r="B90" s="4" t="s">
        <v>81</v>
      </c>
      <c r="C90" s="5" t="s">
        <v>158</v>
      </c>
      <c r="D90" s="5" t="s">
        <v>93</v>
      </c>
      <c r="E90" s="5" t="s">
        <v>132</v>
      </c>
      <c r="F90" s="5" t="s">
        <v>59</v>
      </c>
      <c r="G90" s="14">
        <v>41927</v>
      </c>
      <c r="H90" s="5">
        <v>100077140</v>
      </c>
      <c r="I90" s="14">
        <v>41947</v>
      </c>
      <c r="J90" s="5">
        <v>3904</v>
      </c>
      <c r="K90" s="15">
        <v>81.73</v>
      </c>
      <c r="L90" s="15">
        <v>56.67</v>
      </c>
      <c r="M90" s="15">
        <v>319073.92000000004</v>
      </c>
      <c r="N90" s="15">
        <v>221239.67999999999</v>
      </c>
      <c r="O90" s="16">
        <v>97834.240000000049</v>
      </c>
    </row>
    <row r="91" spans="2:15" ht="18.75" hidden="1" x14ac:dyDescent="0.25">
      <c r="B91" s="4" t="s">
        <v>56</v>
      </c>
      <c r="C91" s="5" t="s">
        <v>159</v>
      </c>
      <c r="D91" s="5" t="s">
        <v>80</v>
      </c>
      <c r="E91" s="5" t="s">
        <v>132</v>
      </c>
      <c r="F91" s="5" t="s">
        <v>63</v>
      </c>
      <c r="G91" s="14">
        <v>41380</v>
      </c>
      <c r="H91" s="5">
        <v>100078427</v>
      </c>
      <c r="I91" s="14">
        <v>41387</v>
      </c>
      <c r="J91" s="5">
        <v>4285</v>
      </c>
      <c r="K91" s="15">
        <v>668.27</v>
      </c>
      <c r="L91" s="15">
        <v>502.54</v>
      </c>
      <c r="M91" s="15">
        <v>2863536.9499999997</v>
      </c>
      <c r="N91" s="15">
        <v>2153383.9</v>
      </c>
      <c r="O91" s="16">
        <v>710153.04999999981</v>
      </c>
    </row>
    <row r="92" spans="2:15" ht="18.75" hidden="1" x14ac:dyDescent="0.25">
      <c r="B92" s="4" t="s">
        <v>51</v>
      </c>
      <c r="C92" s="5" t="s">
        <v>160</v>
      </c>
      <c r="D92" s="5" t="s">
        <v>100</v>
      </c>
      <c r="E92" s="5" t="s">
        <v>132</v>
      </c>
      <c r="F92" s="5" t="s">
        <v>55</v>
      </c>
      <c r="G92" s="14">
        <v>42517</v>
      </c>
      <c r="H92" s="5">
        <v>100078856</v>
      </c>
      <c r="I92" s="14">
        <v>42520</v>
      </c>
      <c r="J92" s="5">
        <v>4412</v>
      </c>
      <c r="K92" s="15">
        <v>205.7</v>
      </c>
      <c r="L92" s="15">
        <v>117.11</v>
      </c>
      <c r="M92" s="15">
        <v>907548.39999999991</v>
      </c>
      <c r="N92" s="15">
        <v>516689.32</v>
      </c>
      <c r="O92" s="16">
        <v>390859.0799999999</v>
      </c>
    </row>
    <row r="93" spans="2:15" ht="18.75" hidden="1" x14ac:dyDescent="0.25">
      <c r="B93" s="4" t="s">
        <v>51</v>
      </c>
      <c r="C93" s="5" t="s">
        <v>161</v>
      </c>
      <c r="D93" s="5" t="s">
        <v>62</v>
      </c>
      <c r="E93" s="5" t="s">
        <v>132</v>
      </c>
      <c r="F93" s="5" t="s">
        <v>59</v>
      </c>
      <c r="G93" s="14">
        <v>41970</v>
      </c>
      <c r="H93" s="5">
        <v>100080144</v>
      </c>
      <c r="I93" s="14">
        <v>42011</v>
      </c>
      <c r="J93" s="5">
        <v>4793</v>
      </c>
      <c r="K93" s="15">
        <v>437.2</v>
      </c>
      <c r="L93" s="15">
        <v>263.33</v>
      </c>
      <c r="M93" s="15">
        <v>2095499.5999999999</v>
      </c>
      <c r="N93" s="15">
        <v>1262140.69</v>
      </c>
      <c r="O93" s="16">
        <v>833358.90999999992</v>
      </c>
    </row>
    <row r="94" spans="2:15" ht="18.75" hidden="1" x14ac:dyDescent="0.25">
      <c r="B94" s="4" t="s">
        <v>74</v>
      </c>
      <c r="C94" s="5" t="s">
        <v>162</v>
      </c>
      <c r="D94" s="5" t="s">
        <v>100</v>
      </c>
      <c r="E94" s="5" t="s">
        <v>132</v>
      </c>
      <c r="F94" s="5" t="s">
        <v>55</v>
      </c>
      <c r="G94" s="14">
        <v>43698</v>
      </c>
      <c r="H94" s="5">
        <v>100082290</v>
      </c>
      <c r="I94" s="14">
        <v>43717</v>
      </c>
      <c r="J94" s="5">
        <v>5428</v>
      </c>
      <c r="K94" s="15">
        <v>205.7</v>
      </c>
      <c r="L94" s="15">
        <v>117.11</v>
      </c>
      <c r="M94" s="15">
        <v>1116539.5999999999</v>
      </c>
      <c r="N94" s="15">
        <v>635673.07999999996</v>
      </c>
      <c r="O94" s="16">
        <v>480866.5199999999</v>
      </c>
    </row>
    <row r="95" spans="2:15" ht="18.75" hidden="1" x14ac:dyDescent="0.25">
      <c r="B95" s="4" t="s">
        <v>81</v>
      </c>
      <c r="C95" s="5" t="s">
        <v>163</v>
      </c>
      <c r="D95" s="5" t="s">
        <v>93</v>
      </c>
      <c r="E95" s="5" t="s">
        <v>132</v>
      </c>
      <c r="F95" s="5" t="s">
        <v>63</v>
      </c>
      <c r="G95" s="14">
        <v>40329</v>
      </c>
      <c r="H95" s="5">
        <v>100084006</v>
      </c>
      <c r="I95" s="14">
        <v>40330</v>
      </c>
      <c r="J95" s="5">
        <v>5936</v>
      </c>
      <c r="K95" s="15">
        <v>81.73</v>
      </c>
      <c r="L95" s="15">
        <v>56.67</v>
      </c>
      <c r="M95" s="15">
        <v>485149.28</v>
      </c>
      <c r="N95" s="15">
        <v>336393.12</v>
      </c>
      <c r="O95" s="16">
        <v>148756.16000000003</v>
      </c>
    </row>
    <row r="96" spans="2:15" ht="18.75" hidden="1" x14ac:dyDescent="0.25">
      <c r="B96" s="4" t="s">
        <v>60</v>
      </c>
      <c r="C96" s="5" t="s">
        <v>164</v>
      </c>
      <c r="D96" s="5" t="s">
        <v>78</v>
      </c>
      <c r="E96" s="5" t="s">
        <v>132</v>
      </c>
      <c r="F96" s="5" t="s">
        <v>63</v>
      </c>
      <c r="G96" s="14">
        <v>41466</v>
      </c>
      <c r="H96" s="5">
        <v>100084435</v>
      </c>
      <c r="I96" s="14">
        <v>41514</v>
      </c>
      <c r="J96" s="5">
        <v>6063</v>
      </c>
      <c r="K96" s="15">
        <v>47.45</v>
      </c>
      <c r="L96" s="15">
        <v>31.79</v>
      </c>
      <c r="M96" s="15">
        <v>287689.35000000003</v>
      </c>
      <c r="N96" s="15">
        <v>192742.77</v>
      </c>
      <c r="O96" s="16">
        <v>94946.580000000045</v>
      </c>
    </row>
    <row r="97" spans="2:15" ht="18.75" hidden="1" x14ac:dyDescent="0.25">
      <c r="B97" s="4" t="s">
        <v>51</v>
      </c>
      <c r="C97" s="5" t="s">
        <v>165</v>
      </c>
      <c r="D97" s="5" t="s">
        <v>96</v>
      </c>
      <c r="E97" s="5" t="s">
        <v>132</v>
      </c>
      <c r="F97" s="5" t="s">
        <v>55</v>
      </c>
      <c r="G97" s="14">
        <v>42604</v>
      </c>
      <c r="H97" s="5">
        <v>100084865</v>
      </c>
      <c r="I97" s="14">
        <v>42648</v>
      </c>
      <c r="J97" s="5">
        <v>6190</v>
      </c>
      <c r="K97" s="15">
        <v>154.06</v>
      </c>
      <c r="L97" s="15">
        <v>90.93</v>
      </c>
      <c r="M97" s="15">
        <v>953631.4</v>
      </c>
      <c r="N97" s="15">
        <v>562856.70000000007</v>
      </c>
      <c r="O97" s="16">
        <v>390774.69999999995</v>
      </c>
    </row>
    <row r="98" spans="2:15" ht="18.75" hidden="1" x14ac:dyDescent="0.25">
      <c r="B98" s="4" t="s">
        <v>81</v>
      </c>
      <c r="C98" s="5" t="s">
        <v>121</v>
      </c>
      <c r="D98" s="5" t="s">
        <v>80</v>
      </c>
      <c r="E98" s="5" t="s">
        <v>132</v>
      </c>
      <c r="F98" s="5" t="s">
        <v>55</v>
      </c>
      <c r="G98" s="14">
        <v>43741</v>
      </c>
      <c r="H98" s="5">
        <v>100085294</v>
      </c>
      <c r="I98" s="14">
        <v>43780</v>
      </c>
      <c r="J98" s="5">
        <v>6317</v>
      </c>
      <c r="K98" s="15">
        <v>668.27</v>
      </c>
      <c r="L98" s="15">
        <v>502.54</v>
      </c>
      <c r="M98" s="15">
        <v>4221461.59</v>
      </c>
      <c r="N98" s="15">
        <v>3174545.18</v>
      </c>
      <c r="O98" s="16">
        <v>1046916.4099999997</v>
      </c>
    </row>
    <row r="99" spans="2:15" ht="18.75" hidden="1" x14ac:dyDescent="0.25">
      <c r="B99" s="4" t="s">
        <v>56</v>
      </c>
      <c r="C99" s="5" t="s">
        <v>166</v>
      </c>
      <c r="D99" s="5" t="s">
        <v>78</v>
      </c>
      <c r="E99" s="5" t="s">
        <v>132</v>
      </c>
      <c r="F99" s="5" t="s">
        <v>63</v>
      </c>
      <c r="G99" s="14">
        <v>42647</v>
      </c>
      <c r="H99" s="5">
        <v>100087869</v>
      </c>
      <c r="I99" s="14">
        <v>42660</v>
      </c>
      <c r="J99" s="5">
        <v>7079</v>
      </c>
      <c r="K99" s="15">
        <v>47.45</v>
      </c>
      <c r="L99" s="15">
        <v>31.79</v>
      </c>
      <c r="M99" s="15">
        <v>335898.55000000005</v>
      </c>
      <c r="N99" s="15">
        <v>225041.41</v>
      </c>
      <c r="O99" s="16">
        <v>110857.14000000004</v>
      </c>
    </row>
    <row r="100" spans="2:15" ht="18.75" hidden="1" x14ac:dyDescent="0.25">
      <c r="B100" s="4" t="s">
        <v>66</v>
      </c>
      <c r="C100" s="5" t="s">
        <v>167</v>
      </c>
      <c r="D100" s="5" t="s">
        <v>80</v>
      </c>
      <c r="E100" s="5" t="s">
        <v>132</v>
      </c>
      <c r="F100" s="5" t="s">
        <v>55</v>
      </c>
      <c r="G100" s="14">
        <v>40962</v>
      </c>
      <c r="H100" s="5">
        <v>100088727</v>
      </c>
      <c r="I100" s="14">
        <v>40966</v>
      </c>
      <c r="J100" s="5">
        <v>7333</v>
      </c>
      <c r="K100" s="15">
        <v>668.27</v>
      </c>
      <c r="L100" s="15">
        <v>502.54</v>
      </c>
      <c r="M100" s="15">
        <v>4900423.91</v>
      </c>
      <c r="N100" s="15">
        <v>3685125.8200000003</v>
      </c>
      <c r="O100" s="16">
        <v>1215298.0899999999</v>
      </c>
    </row>
    <row r="101" spans="2:15" ht="18.75" hidden="1" x14ac:dyDescent="0.25">
      <c r="B101" s="4" t="s">
        <v>51</v>
      </c>
      <c r="C101" s="5" t="s">
        <v>168</v>
      </c>
      <c r="D101" s="5" t="s">
        <v>65</v>
      </c>
      <c r="E101" s="5" t="s">
        <v>132</v>
      </c>
      <c r="F101" s="5" t="s">
        <v>59</v>
      </c>
      <c r="G101" s="14">
        <v>43237</v>
      </c>
      <c r="H101" s="5">
        <v>100089585</v>
      </c>
      <c r="I101" s="14">
        <v>43284</v>
      </c>
      <c r="J101" s="5">
        <v>7587</v>
      </c>
      <c r="K101" s="15">
        <v>651.21</v>
      </c>
      <c r="L101" s="15">
        <v>524.96</v>
      </c>
      <c r="M101" s="15">
        <v>4940730.2700000005</v>
      </c>
      <c r="N101" s="15">
        <v>3982871.5200000005</v>
      </c>
      <c r="O101" s="16">
        <v>957858.75</v>
      </c>
    </row>
    <row r="102" spans="2:15" ht="18.75" hidden="1" x14ac:dyDescent="0.25">
      <c r="B102" s="4" t="s">
        <v>81</v>
      </c>
      <c r="C102" s="5" t="s">
        <v>169</v>
      </c>
      <c r="D102" s="5" t="s">
        <v>88</v>
      </c>
      <c r="E102" s="5" t="s">
        <v>132</v>
      </c>
      <c r="F102" s="5" t="s">
        <v>59</v>
      </c>
      <c r="G102" s="14">
        <v>40415</v>
      </c>
      <c r="H102" s="5">
        <v>100090014</v>
      </c>
      <c r="I102" s="14">
        <v>40457</v>
      </c>
      <c r="J102" s="5">
        <v>7714</v>
      </c>
      <c r="K102" s="15">
        <v>152.58000000000001</v>
      </c>
      <c r="L102" s="15">
        <v>97.44</v>
      </c>
      <c r="M102" s="15">
        <v>1177002.1200000001</v>
      </c>
      <c r="N102" s="15">
        <v>751652.16</v>
      </c>
      <c r="O102" s="16">
        <v>425349.96000000008</v>
      </c>
    </row>
    <row r="103" spans="2:15" ht="18.75" hidden="1" x14ac:dyDescent="0.25">
      <c r="B103" s="4" t="s">
        <v>60</v>
      </c>
      <c r="C103" s="5" t="s">
        <v>127</v>
      </c>
      <c r="D103" s="5" t="s">
        <v>62</v>
      </c>
      <c r="E103" s="5" t="s">
        <v>132</v>
      </c>
      <c r="F103" s="5" t="s">
        <v>63</v>
      </c>
      <c r="G103" s="14">
        <v>41553</v>
      </c>
      <c r="H103" s="5">
        <v>100090444</v>
      </c>
      <c r="I103" s="14">
        <v>41591</v>
      </c>
      <c r="J103" s="5">
        <v>7841</v>
      </c>
      <c r="K103" s="15">
        <v>437.2</v>
      </c>
      <c r="L103" s="15">
        <v>263.33</v>
      </c>
      <c r="M103" s="15">
        <v>3428085.1999999997</v>
      </c>
      <c r="N103" s="15">
        <v>2064770.5299999998</v>
      </c>
      <c r="O103" s="16">
        <v>1363314.67</v>
      </c>
    </row>
    <row r="104" spans="2:15" ht="18.75" hidden="1" x14ac:dyDescent="0.25">
      <c r="B104" s="4" t="s">
        <v>51</v>
      </c>
      <c r="C104" s="5" t="s">
        <v>170</v>
      </c>
      <c r="D104" s="5" t="s">
        <v>93</v>
      </c>
      <c r="E104" s="5" t="s">
        <v>132</v>
      </c>
      <c r="F104" s="5" t="s">
        <v>63</v>
      </c>
      <c r="G104" s="14">
        <v>42690</v>
      </c>
      <c r="H104" s="5">
        <v>100090873</v>
      </c>
      <c r="I104" s="14">
        <v>42724</v>
      </c>
      <c r="J104" s="5">
        <v>7968</v>
      </c>
      <c r="K104" s="15">
        <v>81.73</v>
      </c>
      <c r="L104" s="15">
        <v>56.67</v>
      </c>
      <c r="M104" s="15">
        <v>651224.64</v>
      </c>
      <c r="N104" s="15">
        <v>451546.56</v>
      </c>
      <c r="O104" s="16">
        <v>199678.08000000002</v>
      </c>
    </row>
    <row r="105" spans="2:15" ht="18.75" hidden="1" x14ac:dyDescent="0.25">
      <c r="B105" s="4" t="s">
        <v>81</v>
      </c>
      <c r="C105" s="5" t="s">
        <v>171</v>
      </c>
      <c r="D105" s="5" t="s">
        <v>78</v>
      </c>
      <c r="E105" s="5" t="s">
        <v>132</v>
      </c>
      <c r="F105" s="5" t="s">
        <v>55</v>
      </c>
      <c r="G105" s="14">
        <v>43827</v>
      </c>
      <c r="H105" s="5">
        <v>100091302</v>
      </c>
      <c r="I105" s="14">
        <v>43856</v>
      </c>
      <c r="J105" s="5">
        <v>8095</v>
      </c>
      <c r="K105" s="15">
        <v>47.45</v>
      </c>
      <c r="L105" s="15">
        <v>31.79</v>
      </c>
      <c r="M105" s="15">
        <v>384107.75</v>
      </c>
      <c r="N105" s="15">
        <v>257340.05</v>
      </c>
      <c r="O105" s="16">
        <v>126767.70000000001</v>
      </c>
    </row>
    <row r="106" spans="2:15" ht="18.75" hidden="1" x14ac:dyDescent="0.25">
      <c r="B106" s="4" t="s">
        <v>60</v>
      </c>
      <c r="C106" s="5" t="s">
        <v>172</v>
      </c>
      <c r="D106" s="5" t="s">
        <v>96</v>
      </c>
      <c r="E106" s="5" t="s">
        <v>132</v>
      </c>
      <c r="F106" s="5" t="s">
        <v>55</v>
      </c>
      <c r="G106" s="14">
        <v>41006</v>
      </c>
      <c r="H106" s="5">
        <v>100091731</v>
      </c>
      <c r="I106" s="14">
        <v>41031</v>
      </c>
      <c r="J106" s="5">
        <v>8222</v>
      </c>
      <c r="K106" s="15">
        <v>154.06</v>
      </c>
      <c r="L106" s="15">
        <v>90.93</v>
      </c>
      <c r="M106" s="15">
        <v>1266681.32</v>
      </c>
      <c r="N106" s="15">
        <v>747626.46000000008</v>
      </c>
      <c r="O106" s="16">
        <v>519054.86</v>
      </c>
    </row>
    <row r="107" spans="2:15" ht="18.75" hidden="1" x14ac:dyDescent="0.25">
      <c r="B107" s="4" t="s">
        <v>72</v>
      </c>
      <c r="C107" s="5" t="s">
        <v>173</v>
      </c>
      <c r="D107" s="5" t="s">
        <v>88</v>
      </c>
      <c r="E107" s="5" t="s">
        <v>132</v>
      </c>
      <c r="F107" s="5" t="s">
        <v>59</v>
      </c>
      <c r="G107" s="14">
        <v>41596</v>
      </c>
      <c r="H107" s="5">
        <v>100093448</v>
      </c>
      <c r="I107" s="14">
        <v>41604</v>
      </c>
      <c r="J107" s="5">
        <v>8730</v>
      </c>
      <c r="K107" s="15">
        <v>152.58000000000001</v>
      </c>
      <c r="L107" s="15">
        <v>97.44</v>
      </c>
      <c r="M107" s="15">
        <v>1332023.4000000001</v>
      </c>
      <c r="N107" s="15">
        <v>850651.2</v>
      </c>
      <c r="O107" s="16">
        <v>481372.20000000019</v>
      </c>
    </row>
    <row r="108" spans="2:15" ht="18.75" hidden="1" x14ac:dyDescent="0.25">
      <c r="B108" s="4" t="s">
        <v>51</v>
      </c>
      <c r="C108" s="5" t="s">
        <v>136</v>
      </c>
      <c r="D108" s="5" t="s">
        <v>93</v>
      </c>
      <c r="E108" s="5" t="s">
        <v>132</v>
      </c>
      <c r="F108" s="5" t="s">
        <v>55</v>
      </c>
      <c r="G108" s="14">
        <v>43870</v>
      </c>
      <c r="H108" s="5">
        <v>100094306</v>
      </c>
      <c r="I108" s="14">
        <v>43920</v>
      </c>
      <c r="J108" s="5">
        <v>8984</v>
      </c>
      <c r="K108" s="15">
        <v>81.73</v>
      </c>
      <c r="L108" s="15">
        <v>56.67</v>
      </c>
      <c r="M108" s="15">
        <v>734262.32000000007</v>
      </c>
      <c r="N108" s="15">
        <v>509123.28</v>
      </c>
      <c r="O108" s="16">
        <v>225139.04000000004</v>
      </c>
    </row>
    <row r="109" spans="2:15" ht="18.75" hidden="1" x14ac:dyDescent="0.25">
      <c r="B109" s="4" t="s">
        <v>81</v>
      </c>
      <c r="C109" s="5" t="s">
        <v>138</v>
      </c>
      <c r="D109" s="5" t="s">
        <v>100</v>
      </c>
      <c r="E109" s="5" t="s">
        <v>132</v>
      </c>
      <c r="F109" s="5" t="s">
        <v>59</v>
      </c>
      <c r="G109" s="14">
        <v>40502</v>
      </c>
      <c r="H109" s="5">
        <v>100096023</v>
      </c>
      <c r="I109" s="14">
        <v>40534</v>
      </c>
      <c r="J109" s="5">
        <v>9492</v>
      </c>
      <c r="K109" s="15">
        <v>205.7</v>
      </c>
      <c r="L109" s="15">
        <v>117.11</v>
      </c>
      <c r="M109" s="15">
        <v>1952504.4</v>
      </c>
      <c r="N109" s="15">
        <v>1111608.1199999999</v>
      </c>
      <c r="O109" s="16">
        <v>840896.28</v>
      </c>
    </row>
    <row r="110" spans="2:15" ht="18.75" hidden="1" x14ac:dyDescent="0.25">
      <c r="B110" s="4" t="s">
        <v>51</v>
      </c>
      <c r="C110" s="5" t="s">
        <v>174</v>
      </c>
      <c r="D110" s="5" t="s">
        <v>88</v>
      </c>
      <c r="E110" s="5" t="s">
        <v>132</v>
      </c>
      <c r="F110" s="5" t="s">
        <v>63</v>
      </c>
      <c r="G110" s="14">
        <v>42776</v>
      </c>
      <c r="H110" s="5">
        <v>100096881</v>
      </c>
      <c r="I110" s="14">
        <v>42800</v>
      </c>
      <c r="J110" s="5">
        <v>9746</v>
      </c>
      <c r="K110" s="15">
        <v>152.58000000000001</v>
      </c>
      <c r="L110" s="15">
        <v>97.44</v>
      </c>
      <c r="M110" s="15">
        <v>1487044.6800000002</v>
      </c>
      <c r="N110" s="15">
        <v>949650.24</v>
      </c>
      <c r="O110" s="16">
        <v>537394.44000000018</v>
      </c>
    </row>
    <row r="111" spans="2:15" ht="18.75" hidden="1" x14ac:dyDescent="0.25">
      <c r="B111" s="4" t="s">
        <v>74</v>
      </c>
      <c r="C111" s="5" t="s">
        <v>141</v>
      </c>
      <c r="D111" s="5" t="s">
        <v>93</v>
      </c>
      <c r="E111" s="5" t="s">
        <v>132</v>
      </c>
      <c r="F111" s="5" t="s">
        <v>55</v>
      </c>
      <c r="G111" s="14">
        <v>41092</v>
      </c>
      <c r="H111" s="5">
        <v>100097739</v>
      </c>
      <c r="I111" s="14">
        <v>41107</v>
      </c>
      <c r="J111" s="5">
        <v>10000</v>
      </c>
      <c r="K111" s="15">
        <v>81.73</v>
      </c>
      <c r="L111" s="15">
        <v>56.67</v>
      </c>
      <c r="M111" s="15">
        <v>817300</v>
      </c>
      <c r="N111" s="15">
        <v>566700</v>
      </c>
      <c r="O111" s="16">
        <v>250600</v>
      </c>
    </row>
    <row r="112" spans="2:15" ht="18.75" hidden="1" x14ac:dyDescent="0.25">
      <c r="B112" s="4" t="s">
        <v>72</v>
      </c>
      <c r="C112" s="5" t="s">
        <v>175</v>
      </c>
      <c r="D112" s="5" t="s">
        <v>58</v>
      </c>
      <c r="E112" s="5" t="s">
        <v>132</v>
      </c>
      <c r="F112" s="5" t="s">
        <v>55</v>
      </c>
      <c r="G112" s="14">
        <v>42229</v>
      </c>
      <c r="H112" s="5">
        <v>100098168</v>
      </c>
      <c r="I112" s="14">
        <v>42240</v>
      </c>
      <c r="J112" s="5">
        <v>127</v>
      </c>
      <c r="K112" s="15">
        <v>255.28</v>
      </c>
      <c r="L112" s="15">
        <v>159.41999999999999</v>
      </c>
      <c r="M112" s="15">
        <v>32420.560000000001</v>
      </c>
      <c r="N112" s="15">
        <v>20246.34</v>
      </c>
      <c r="O112" s="16">
        <v>12174.220000000001</v>
      </c>
    </row>
    <row r="113" spans="2:15" ht="18.75" hidden="1" x14ac:dyDescent="0.25">
      <c r="B113" s="4" t="s">
        <v>51</v>
      </c>
      <c r="C113" s="5" t="s">
        <v>52</v>
      </c>
      <c r="D113" s="5" t="s">
        <v>68</v>
      </c>
      <c r="E113" s="5" t="s">
        <v>132</v>
      </c>
      <c r="F113" s="5" t="s">
        <v>59</v>
      </c>
      <c r="G113" s="14">
        <v>40545</v>
      </c>
      <c r="H113" s="5">
        <v>100099027</v>
      </c>
      <c r="I113" s="14">
        <v>40547</v>
      </c>
      <c r="J113" s="5">
        <v>381</v>
      </c>
      <c r="K113" s="15">
        <v>109.28</v>
      </c>
      <c r="L113" s="15">
        <v>35.840000000000003</v>
      </c>
      <c r="M113" s="15">
        <v>41635.68</v>
      </c>
      <c r="N113" s="15">
        <v>13655.04</v>
      </c>
      <c r="O113" s="16">
        <v>27980.639999999999</v>
      </c>
    </row>
    <row r="114" spans="2:15" ht="18.75" hidden="1" x14ac:dyDescent="0.25">
      <c r="B114" s="4" t="s">
        <v>81</v>
      </c>
      <c r="C114" s="5" t="s">
        <v>176</v>
      </c>
      <c r="D114" s="5" t="s">
        <v>53</v>
      </c>
      <c r="E114" s="5" t="s">
        <v>132</v>
      </c>
      <c r="F114" s="5" t="s">
        <v>55</v>
      </c>
      <c r="G114" s="14">
        <v>41135</v>
      </c>
      <c r="H114" s="5">
        <v>100100743</v>
      </c>
      <c r="I114" s="14">
        <v>41170</v>
      </c>
      <c r="J114" s="5">
        <v>889</v>
      </c>
      <c r="K114" s="15">
        <v>9.33</v>
      </c>
      <c r="L114" s="15">
        <v>6.92</v>
      </c>
      <c r="M114" s="15">
        <v>8294.3700000000008</v>
      </c>
      <c r="N114" s="15">
        <v>6151.88</v>
      </c>
      <c r="O114" s="16">
        <v>2142.4900000000007</v>
      </c>
    </row>
    <row r="115" spans="2:15" ht="18.75" hidden="1" x14ac:dyDescent="0.25">
      <c r="B115" s="4" t="s">
        <v>51</v>
      </c>
      <c r="C115" s="5" t="s">
        <v>177</v>
      </c>
      <c r="D115" s="5" t="s">
        <v>58</v>
      </c>
      <c r="E115" s="5" t="s">
        <v>132</v>
      </c>
      <c r="F115" s="5" t="s">
        <v>70</v>
      </c>
      <c r="G115" s="14">
        <v>43410</v>
      </c>
      <c r="H115" s="5">
        <v>100101602</v>
      </c>
      <c r="I115" s="14">
        <v>43437</v>
      </c>
      <c r="J115" s="5">
        <v>1143</v>
      </c>
      <c r="K115" s="15">
        <v>255.28</v>
      </c>
      <c r="L115" s="15">
        <v>159.41999999999999</v>
      </c>
      <c r="M115" s="15">
        <v>291785.03999999998</v>
      </c>
      <c r="N115" s="15">
        <v>182217.06</v>
      </c>
      <c r="O115" s="16">
        <v>109567.97999999998</v>
      </c>
    </row>
    <row r="116" spans="2:15" ht="18.75" hidden="1" x14ac:dyDescent="0.25">
      <c r="B116" s="4" t="s">
        <v>74</v>
      </c>
      <c r="C116" s="5" t="s">
        <v>178</v>
      </c>
      <c r="D116" s="5" t="s">
        <v>68</v>
      </c>
      <c r="E116" s="5" t="s">
        <v>132</v>
      </c>
      <c r="F116" s="5" t="s">
        <v>59</v>
      </c>
      <c r="G116" s="14">
        <v>41725</v>
      </c>
      <c r="H116" s="5">
        <v>100102460</v>
      </c>
      <c r="I116" s="14">
        <v>41743</v>
      </c>
      <c r="J116" s="5">
        <v>1397</v>
      </c>
      <c r="K116" s="15">
        <v>109.28</v>
      </c>
      <c r="L116" s="15">
        <v>35.840000000000003</v>
      </c>
      <c r="M116" s="15">
        <v>152664.16</v>
      </c>
      <c r="N116" s="15">
        <v>50068.480000000003</v>
      </c>
      <c r="O116" s="16">
        <v>102595.68</v>
      </c>
    </row>
    <row r="117" spans="2:15" ht="18.75" hidden="1" x14ac:dyDescent="0.25">
      <c r="B117" s="4" t="s">
        <v>51</v>
      </c>
      <c r="C117" s="5" t="s">
        <v>64</v>
      </c>
      <c r="D117" s="5" t="s">
        <v>88</v>
      </c>
      <c r="E117" s="5" t="s">
        <v>132</v>
      </c>
      <c r="F117" s="5" t="s">
        <v>55</v>
      </c>
      <c r="G117" s="14">
        <v>41178</v>
      </c>
      <c r="H117" s="5">
        <v>100103747</v>
      </c>
      <c r="I117" s="14">
        <v>41183</v>
      </c>
      <c r="J117" s="5">
        <v>1778</v>
      </c>
      <c r="K117" s="15">
        <v>152.58000000000001</v>
      </c>
      <c r="L117" s="15">
        <v>97.44</v>
      </c>
      <c r="M117" s="15">
        <v>271287.24000000005</v>
      </c>
      <c r="N117" s="15">
        <v>173248.32</v>
      </c>
      <c r="O117" s="16">
        <v>98038.920000000042</v>
      </c>
    </row>
    <row r="118" spans="2:15" ht="18.75" hidden="1" x14ac:dyDescent="0.25">
      <c r="B118" s="4" t="s">
        <v>81</v>
      </c>
      <c r="C118" s="5" t="s">
        <v>179</v>
      </c>
      <c r="D118" s="5" t="s">
        <v>96</v>
      </c>
      <c r="E118" s="5" t="s">
        <v>132</v>
      </c>
      <c r="F118" s="5" t="s">
        <v>59</v>
      </c>
      <c r="G118" s="14">
        <v>41769</v>
      </c>
      <c r="H118" s="5">
        <v>100105464</v>
      </c>
      <c r="I118" s="14">
        <v>41807</v>
      </c>
      <c r="J118" s="5">
        <v>2286</v>
      </c>
      <c r="K118" s="15">
        <v>154.06</v>
      </c>
      <c r="L118" s="15">
        <v>90.93</v>
      </c>
      <c r="M118" s="15">
        <v>352181.16000000003</v>
      </c>
      <c r="N118" s="15">
        <v>207865.98</v>
      </c>
      <c r="O118" s="16">
        <v>144315.18000000002</v>
      </c>
    </row>
    <row r="119" spans="2:15" ht="18.75" hidden="1" x14ac:dyDescent="0.25">
      <c r="B119" s="4" t="s">
        <v>60</v>
      </c>
      <c r="C119" s="5" t="s">
        <v>69</v>
      </c>
      <c r="D119" s="5" t="s">
        <v>68</v>
      </c>
      <c r="E119" s="5" t="s">
        <v>132</v>
      </c>
      <c r="F119" s="5" t="s">
        <v>59</v>
      </c>
      <c r="G119" s="14">
        <v>42906</v>
      </c>
      <c r="H119" s="5">
        <v>100105893</v>
      </c>
      <c r="I119" s="14">
        <v>42940</v>
      </c>
      <c r="J119" s="5">
        <v>2413</v>
      </c>
      <c r="K119" s="15">
        <v>109.28</v>
      </c>
      <c r="L119" s="15">
        <v>35.840000000000003</v>
      </c>
      <c r="M119" s="15">
        <v>263692.64</v>
      </c>
      <c r="N119" s="15">
        <v>86481.920000000013</v>
      </c>
      <c r="O119" s="16">
        <v>177210.72</v>
      </c>
    </row>
    <row r="120" spans="2:15" ht="18.75" hidden="1" x14ac:dyDescent="0.25">
      <c r="B120" s="4" t="s">
        <v>81</v>
      </c>
      <c r="C120" s="5" t="s">
        <v>180</v>
      </c>
      <c r="D120" s="5" t="s">
        <v>76</v>
      </c>
      <c r="E120" s="5" t="s">
        <v>132</v>
      </c>
      <c r="F120" s="5" t="s">
        <v>63</v>
      </c>
      <c r="G120" s="14">
        <v>41221</v>
      </c>
      <c r="H120" s="5">
        <v>100106751</v>
      </c>
      <c r="I120" s="14">
        <v>41246</v>
      </c>
      <c r="J120" s="5">
        <v>2667</v>
      </c>
      <c r="K120" s="15">
        <v>421.89</v>
      </c>
      <c r="L120" s="15">
        <v>364.69</v>
      </c>
      <c r="M120" s="15">
        <v>1125180.6299999999</v>
      </c>
      <c r="N120" s="15">
        <v>972628.23</v>
      </c>
      <c r="O120" s="16">
        <v>152552.39999999991</v>
      </c>
    </row>
    <row r="121" spans="2:15" ht="18.75" hidden="1" x14ac:dyDescent="0.25">
      <c r="B121" s="4" t="s">
        <v>60</v>
      </c>
      <c r="C121" s="5" t="s">
        <v>71</v>
      </c>
      <c r="D121" s="5" t="s">
        <v>88</v>
      </c>
      <c r="E121" s="5" t="s">
        <v>132</v>
      </c>
      <c r="F121" s="5" t="s">
        <v>55</v>
      </c>
      <c r="G121" s="14">
        <v>42359</v>
      </c>
      <c r="H121" s="5">
        <v>100107181</v>
      </c>
      <c r="I121" s="14">
        <v>42380</v>
      </c>
      <c r="J121" s="5">
        <v>2794</v>
      </c>
      <c r="K121" s="15">
        <v>152.58000000000001</v>
      </c>
      <c r="L121" s="15">
        <v>97.44</v>
      </c>
      <c r="M121" s="15">
        <v>426308.52</v>
      </c>
      <c r="N121" s="15">
        <v>272247.36</v>
      </c>
      <c r="O121" s="16">
        <v>154061.16000000003</v>
      </c>
    </row>
    <row r="122" spans="2:15" ht="18.75" hidden="1" x14ac:dyDescent="0.25">
      <c r="B122" s="4" t="s">
        <v>81</v>
      </c>
      <c r="C122" s="5" t="s">
        <v>181</v>
      </c>
      <c r="D122" s="5" t="s">
        <v>93</v>
      </c>
      <c r="E122" s="5" t="s">
        <v>132</v>
      </c>
      <c r="F122" s="5" t="s">
        <v>70</v>
      </c>
      <c r="G122" s="14">
        <v>40674</v>
      </c>
      <c r="H122" s="5">
        <v>100108039</v>
      </c>
      <c r="I122" s="14">
        <v>40686</v>
      </c>
      <c r="J122" s="5">
        <v>3048</v>
      </c>
      <c r="K122" s="15">
        <v>81.73</v>
      </c>
      <c r="L122" s="15">
        <v>56.67</v>
      </c>
      <c r="M122" s="15">
        <v>249113.04</v>
      </c>
      <c r="N122" s="15">
        <v>172730.16</v>
      </c>
      <c r="O122" s="16">
        <v>76382.880000000005</v>
      </c>
    </row>
    <row r="123" spans="2:15" ht="18.75" hidden="1" x14ac:dyDescent="0.25">
      <c r="B123" s="4" t="s">
        <v>74</v>
      </c>
      <c r="C123" s="5" t="s">
        <v>182</v>
      </c>
      <c r="D123" s="5" t="s">
        <v>58</v>
      </c>
      <c r="E123" s="5" t="s">
        <v>132</v>
      </c>
      <c r="F123" s="5" t="s">
        <v>59</v>
      </c>
      <c r="G123" s="14">
        <v>41812</v>
      </c>
      <c r="H123" s="5">
        <v>100108468</v>
      </c>
      <c r="I123" s="14">
        <v>41820</v>
      </c>
      <c r="J123" s="5">
        <v>3175</v>
      </c>
      <c r="K123" s="15">
        <v>255.28</v>
      </c>
      <c r="L123" s="15">
        <v>159.41999999999999</v>
      </c>
      <c r="M123" s="15">
        <v>810514</v>
      </c>
      <c r="N123" s="15">
        <v>506158.49999999994</v>
      </c>
      <c r="O123" s="16">
        <v>304355.50000000006</v>
      </c>
    </row>
    <row r="124" spans="2:15" ht="18.75" hidden="1" x14ac:dyDescent="0.25">
      <c r="B124" s="4" t="s">
        <v>72</v>
      </c>
      <c r="C124" s="5" t="s">
        <v>77</v>
      </c>
      <c r="D124" s="5" t="s">
        <v>96</v>
      </c>
      <c r="E124" s="5" t="s">
        <v>132</v>
      </c>
      <c r="F124" s="5" t="s">
        <v>59</v>
      </c>
      <c r="G124" s="14">
        <v>42949</v>
      </c>
      <c r="H124" s="5">
        <v>100108897</v>
      </c>
      <c r="I124" s="14">
        <v>42953</v>
      </c>
      <c r="J124" s="5">
        <v>3302</v>
      </c>
      <c r="K124" s="15">
        <v>154.06</v>
      </c>
      <c r="L124" s="15">
        <v>90.93</v>
      </c>
      <c r="M124" s="15">
        <v>508706.12</v>
      </c>
      <c r="N124" s="15">
        <v>300250.86000000004</v>
      </c>
      <c r="O124" s="16">
        <v>208455.25999999995</v>
      </c>
    </row>
    <row r="125" spans="2:15" ht="18.75" hidden="1" x14ac:dyDescent="0.25">
      <c r="B125" s="4" t="s">
        <v>56</v>
      </c>
      <c r="C125" s="5" t="s">
        <v>183</v>
      </c>
      <c r="D125" s="5" t="s">
        <v>68</v>
      </c>
      <c r="E125" s="5" t="s">
        <v>132</v>
      </c>
      <c r="F125" s="5" t="s">
        <v>63</v>
      </c>
      <c r="G125" s="14">
        <v>44086</v>
      </c>
      <c r="H125" s="5">
        <v>100109326</v>
      </c>
      <c r="I125" s="14">
        <v>44136</v>
      </c>
      <c r="J125" s="5">
        <v>3429</v>
      </c>
      <c r="K125" s="15">
        <v>109.28</v>
      </c>
      <c r="L125" s="15">
        <v>35.840000000000003</v>
      </c>
      <c r="M125" s="15">
        <v>374721.12</v>
      </c>
      <c r="N125" s="15">
        <v>122895.36000000002</v>
      </c>
      <c r="O125" s="16">
        <v>251825.75999999998</v>
      </c>
    </row>
    <row r="126" spans="2:15" ht="18.75" hidden="1" x14ac:dyDescent="0.25">
      <c r="B126" s="4" t="s">
        <v>51</v>
      </c>
      <c r="C126" s="5" t="s">
        <v>79</v>
      </c>
      <c r="D126" s="5" t="s">
        <v>100</v>
      </c>
      <c r="E126" s="5" t="s">
        <v>132</v>
      </c>
      <c r="F126" s="5" t="s">
        <v>63</v>
      </c>
      <c r="G126" s="14">
        <v>41265</v>
      </c>
      <c r="H126" s="5">
        <v>100109755</v>
      </c>
      <c r="I126" s="14">
        <v>41311</v>
      </c>
      <c r="J126" s="5">
        <v>3556</v>
      </c>
      <c r="K126" s="15">
        <v>205.7</v>
      </c>
      <c r="L126" s="15">
        <v>117.11</v>
      </c>
      <c r="M126" s="15">
        <v>731469.2</v>
      </c>
      <c r="N126" s="15">
        <v>416443.16</v>
      </c>
      <c r="O126" s="16">
        <v>315026.03999999998</v>
      </c>
    </row>
    <row r="127" spans="2:15" ht="18.75" hidden="1" x14ac:dyDescent="0.25">
      <c r="B127" s="4" t="s">
        <v>60</v>
      </c>
      <c r="C127" s="5" t="s">
        <v>184</v>
      </c>
      <c r="D127" s="5" t="s">
        <v>88</v>
      </c>
      <c r="E127" s="5" t="s">
        <v>132</v>
      </c>
      <c r="F127" s="5" t="s">
        <v>55</v>
      </c>
      <c r="G127" s="14">
        <v>43539</v>
      </c>
      <c r="H127" s="5">
        <v>100110614</v>
      </c>
      <c r="I127" s="14">
        <v>43576</v>
      </c>
      <c r="J127" s="5">
        <v>3810</v>
      </c>
      <c r="K127" s="15">
        <v>152.58000000000001</v>
      </c>
      <c r="L127" s="15">
        <v>97.44</v>
      </c>
      <c r="M127" s="15">
        <v>581329.80000000005</v>
      </c>
      <c r="N127" s="15">
        <v>371246.39999999997</v>
      </c>
      <c r="O127" s="16">
        <v>210083.40000000008</v>
      </c>
    </row>
    <row r="128" spans="2:15" ht="18.75" hidden="1" x14ac:dyDescent="0.25">
      <c r="B128" s="4" t="s">
        <v>60</v>
      </c>
      <c r="C128" s="5" t="s">
        <v>139</v>
      </c>
      <c r="D128" s="5" t="s">
        <v>58</v>
      </c>
      <c r="E128" s="5" t="s">
        <v>132</v>
      </c>
      <c r="F128" s="5" t="s">
        <v>59</v>
      </c>
      <c r="G128" s="14">
        <v>42992</v>
      </c>
      <c r="H128" s="5">
        <v>100111901</v>
      </c>
      <c r="I128" s="14">
        <v>43016</v>
      </c>
      <c r="J128" s="5">
        <v>4191</v>
      </c>
      <c r="K128" s="15">
        <v>255.28</v>
      </c>
      <c r="L128" s="15">
        <v>159.41999999999999</v>
      </c>
      <c r="M128" s="15">
        <v>1069878.48</v>
      </c>
      <c r="N128" s="15">
        <v>668129.22</v>
      </c>
      <c r="O128" s="16">
        <v>401749.26</v>
      </c>
    </row>
    <row r="129" spans="2:15" ht="18.75" hidden="1" x14ac:dyDescent="0.25">
      <c r="B129" s="4" t="s">
        <v>81</v>
      </c>
      <c r="C129" s="5" t="s">
        <v>85</v>
      </c>
      <c r="D129" s="5" t="s">
        <v>68</v>
      </c>
      <c r="E129" s="5" t="s">
        <v>132</v>
      </c>
      <c r="F129" s="5" t="s">
        <v>63</v>
      </c>
      <c r="G129" s="14">
        <v>41308</v>
      </c>
      <c r="H129" s="5">
        <v>100112760</v>
      </c>
      <c r="I129" s="14">
        <v>41323</v>
      </c>
      <c r="J129" s="5">
        <v>4445</v>
      </c>
      <c r="K129" s="15">
        <v>109.28</v>
      </c>
      <c r="L129" s="15">
        <v>35.840000000000003</v>
      </c>
      <c r="M129" s="15">
        <v>485749.6</v>
      </c>
      <c r="N129" s="15">
        <v>159308.80000000002</v>
      </c>
      <c r="O129" s="16">
        <v>326440.79999999993</v>
      </c>
    </row>
    <row r="130" spans="2:15" ht="18.75" hidden="1" x14ac:dyDescent="0.25">
      <c r="B130" s="4" t="s">
        <v>74</v>
      </c>
      <c r="C130" s="5" t="s">
        <v>185</v>
      </c>
      <c r="D130" s="5" t="s">
        <v>100</v>
      </c>
      <c r="E130" s="5" t="s">
        <v>132</v>
      </c>
      <c r="F130" s="5" t="s">
        <v>63</v>
      </c>
      <c r="G130" s="14">
        <v>42445</v>
      </c>
      <c r="H130" s="5">
        <v>100113189</v>
      </c>
      <c r="I130" s="14">
        <v>42456</v>
      </c>
      <c r="J130" s="5">
        <v>4572</v>
      </c>
      <c r="K130" s="15">
        <v>205.7</v>
      </c>
      <c r="L130" s="15">
        <v>117.11</v>
      </c>
      <c r="M130" s="15">
        <v>940460.39999999991</v>
      </c>
      <c r="N130" s="15">
        <v>535426.92000000004</v>
      </c>
      <c r="O130" s="16">
        <v>405033.47999999986</v>
      </c>
    </row>
    <row r="131" spans="2:15" ht="18.75" hidden="1" x14ac:dyDescent="0.25">
      <c r="B131" s="4" t="s">
        <v>72</v>
      </c>
      <c r="C131" s="5" t="s">
        <v>186</v>
      </c>
      <c r="D131" s="5" t="s">
        <v>76</v>
      </c>
      <c r="E131" s="5" t="s">
        <v>132</v>
      </c>
      <c r="F131" s="5" t="s">
        <v>55</v>
      </c>
      <c r="G131" s="14">
        <v>43582</v>
      </c>
      <c r="H131" s="5">
        <v>100113618</v>
      </c>
      <c r="I131" s="14">
        <v>43589</v>
      </c>
      <c r="J131" s="5">
        <v>4699</v>
      </c>
      <c r="K131" s="15">
        <v>421.89</v>
      </c>
      <c r="L131" s="15">
        <v>364.69</v>
      </c>
      <c r="M131" s="15">
        <v>1982461.1099999999</v>
      </c>
      <c r="N131" s="15">
        <v>1713678.31</v>
      </c>
      <c r="O131" s="16">
        <v>268782.79999999981</v>
      </c>
    </row>
    <row r="132" spans="2:15" ht="18.75" hidden="1" x14ac:dyDescent="0.25">
      <c r="B132" s="4" t="s">
        <v>56</v>
      </c>
      <c r="C132" s="5" t="s">
        <v>86</v>
      </c>
      <c r="D132" s="5" t="s">
        <v>88</v>
      </c>
      <c r="E132" s="5" t="s">
        <v>132</v>
      </c>
      <c r="F132" s="5" t="s">
        <v>70</v>
      </c>
      <c r="G132" s="14">
        <v>40761</v>
      </c>
      <c r="H132" s="5">
        <v>100114047</v>
      </c>
      <c r="I132" s="14">
        <v>40763</v>
      </c>
      <c r="J132" s="5">
        <v>4826</v>
      </c>
      <c r="K132" s="15">
        <v>152.58000000000001</v>
      </c>
      <c r="L132" s="15">
        <v>97.44</v>
      </c>
      <c r="M132" s="15">
        <v>736351.08000000007</v>
      </c>
      <c r="N132" s="15">
        <v>470245.44</v>
      </c>
      <c r="O132" s="16">
        <v>266105.64000000007</v>
      </c>
    </row>
    <row r="133" spans="2:15" ht="18.75" hidden="1" x14ac:dyDescent="0.25">
      <c r="B133" s="4" t="s">
        <v>81</v>
      </c>
      <c r="C133" s="5" t="s">
        <v>187</v>
      </c>
      <c r="D133" s="5" t="s">
        <v>68</v>
      </c>
      <c r="E133" s="5" t="s">
        <v>132</v>
      </c>
      <c r="F133" s="5" t="s">
        <v>63</v>
      </c>
      <c r="G133" s="14">
        <v>42488</v>
      </c>
      <c r="H133" s="5">
        <v>100116193</v>
      </c>
      <c r="I133" s="14">
        <v>42520</v>
      </c>
      <c r="J133" s="5">
        <v>5461</v>
      </c>
      <c r="K133" s="15">
        <v>109.28</v>
      </c>
      <c r="L133" s="15">
        <v>35.840000000000003</v>
      </c>
      <c r="M133" s="15">
        <v>596778.07999999996</v>
      </c>
      <c r="N133" s="15">
        <v>195722.24000000002</v>
      </c>
      <c r="O133" s="16">
        <v>401055.83999999997</v>
      </c>
    </row>
    <row r="134" spans="2:15" ht="18.75" hidden="1" x14ac:dyDescent="0.25">
      <c r="B134" s="4" t="s">
        <v>74</v>
      </c>
      <c r="C134" s="5" t="s">
        <v>188</v>
      </c>
      <c r="D134" s="5" t="s">
        <v>53</v>
      </c>
      <c r="E134" s="5" t="s">
        <v>132</v>
      </c>
      <c r="F134" s="5" t="s">
        <v>70</v>
      </c>
      <c r="G134" s="14">
        <v>43079</v>
      </c>
      <c r="H134" s="5">
        <v>100117909</v>
      </c>
      <c r="I134" s="14">
        <v>43093</v>
      </c>
      <c r="J134" s="5">
        <v>5969</v>
      </c>
      <c r="K134" s="15">
        <v>9.33</v>
      </c>
      <c r="L134" s="15">
        <v>6.92</v>
      </c>
      <c r="M134" s="15">
        <v>55690.77</v>
      </c>
      <c r="N134" s="15">
        <v>41305.480000000003</v>
      </c>
      <c r="O134" s="16">
        <v>14385.289999999994</v>
      </c>
    </row>
    <row r="135" spans="2:15" ht="18.75" hidden="1" x14ac:dyDescent="0.25">
      <c r="B135" s="4" t="s">
        <v>66</v>
      </c>
      <c r="C135" s="5" t="s">
        <v>95</v>
      </c>
      <c r="D135" s="5" t="s">
        <v>68</v>
      </c>
      <c r="E135" s="5" t="s">
        <v>54</v>
      </c>
      <c r="F135" s="5" t="s">
        <v>55</v>
      </c>
      <c r="G135" s="14">
        <v>43669</v>
      </c>
      <c r="H135" s="5">
        <v>100119626</v>
      </c>
      <c r="I135" s="14">
        <v>43717</v>
      </c>
      <c r="J135" s="5">
        <v>6477</v>
      </c>
      <c r="K135" s="15">
        <v>109.28</v>
      </c>
      <c r="L135" s="15">
        <v>35.840000000000003</v>
      </c>
      <c r="M135" s="15">
        <v>707806.56</v>
      </c>
      <c r="N135" s="15">
        <v>232135.68000000002</v>
      </c>
      <c r="O135" s="16">
        <v>475670.88</v>
      </c>
    </row>
    <row r="136" spans="2:15" ht="18.75" hidden="1" x14ac:dyDescent="0.25">
      <c r="B136" s="4" t="s">
        <v>51</v>
      </c>
      <c r="C136" s="5" t="s">
        <v>189</v>
      </c>
      <c r="D136" s="5" t="s">
        <v>76</v>
      </c>
      <c r="E136" s="5" t="s">
        <v>54</v>
      </c>
      <c r="F136" s="5" t="s">
        <v>70</v>
      </c>
      <c r="G136" s="14">
        <v>41984</v>
      </c>
      <c r="H136" s="5">
        <v>100120484</v>
      </c>
      <c r="I136" s="14">
        <v>42023</v>
      </c>
      <c r="J136" s="5">
        <v>6731</v>
      </c>
      <c r="K136" s="15">
        <v>421.89</v>
      </c>
      <c r="L136" s="15">
        <v>364.69</v>
      </c>
      <c r="M136" s="15">
        <v>2839741.59</v>
      </c>
      <c r="N136" s="15">
        <v>2454728.39</v>
      </c>
      <c r="O136" s="16">
        <v>385013.19999999972</v>
      </c>
    </row>
    <row r="137" spans="2:15" ht="18.75" hidden="1" x14ac:dyDescent="0.25">
      <c r="B137" s="4" t="s">
        <v>81</v>
      </c>
      <c r="C137" s="5" t="s">
        <v>190</v>
      </c>
      <c r="D137" s="5" t="s">
        <v>78</v>
      </c>
      <c r="E137" s="5" t="s">
        <v>54</v>
      </c>
      <c r="F137" s="5" t="s">
        <v>70</v>
      </c>
      <c r="G137" s="14">
        <v>43122</v>
      </c>
      <c r="H137" s="5">
        <v>100120913</v>
      </c>
      <c r="I137" s="14">
        <v>43157</v>
      </c>
      <c r="J137" s="5">
        <v>6858</v>
      </c>
      <c r="K137" s="15">
        <v>47.45</v>
      </c>
      <c r="L137" s="15">
        <v>31.79</v>
      </c>
      <c r="M137" s="15">
        <v>325412.10000000003</v>
      </c>
      <c r="N137" s="15">
        <v>218015.82</v>
      </c>
      <c r="O137" s="16">
        <v>107396.28000000003</v>
      </c>
    </row>
    <row r="138" spans="2:15" ht="18.75" hidden="1" x14ac:dyDescent="0.25">
      <c r="B138" s="4" t="s">
        <v>51</v>
      </c>
      <c r="C138" s="5" t="s">
        <v>191</v>
      </c>
      <c r="D138" s="5" t="s">
        <v>80</v>
      </c>
      <c r="E138" s="5" t="s">
        <v>54</v>
      </c>
      <c r="F138" s="5" t="s">
        <v>59</v>
      </c>
      <c r="G138" s="14">
        <v>41437</v>
      </c>
      <c r="H138" s="5">
        <v>100121772</v>
      </c>
      <c r="I138" s="14">
        <v>41463</v>
      </c>
      <c r="J138" s="5">
        <v>7112</v>
      </c>
      <c r="K138" s="15">
        <v>668.27</v>
      </c>
      <c r="L138" s="15">
        <v>502.54</v>
      </c>
      <c r="M138" s="15">
        <v>4752736.24</v>
      </c>
      <c r="N138" s="15">
        <v>3574064.48</v>
      </c>
      <c r="O138" s="16">
        <v>1178671.7600000002</v>
      </c>
    </row>
    <row r="139" spans="2:15" ht="18.75" hidden="1" x14ac:dyDescent="0.25">
      <c r="B139" s="4" t="s">
        <v>81</v>
      </c>
      <c r="C139" s="5" t="s">
        <v>192</v>
      </c>
      <c r="D139" s="5" t="s">
        <v>58</v>
      </c>
      <c r="E139" s="5" t="s">
        <v>54</v>
      </c>
      <c r="F139" s="5" t="s">
        <v>63</v>
      </c>
      <c r="G139" s="14">
        <v>42575</v>
      </c>
      <c r="H139" s="5">
        <v>100122201</v>
      </c>
      <c r="I139" s="14">
        <v>42597</v>
      </c>
      <c r="J139" s="5">
        <v>7239</v>
      </c>
      <c r="K139" s="15">
        <v>255.28</v>
      </c>
      <c r="L139" s="15">
        <v>159.41999999999999</v>
      </c>
      <c r="M139" s="15">
        <v>1847971.92</v>
      </c>
      <c r="N139" s="15">
        <v>1154041.3799999999</v>
      </c>
      <c r="O139" s="16">
        <v>693930.54</v>
      </c>
    </row>
    <row r="140" spans="2:15" ht="18.75" hidden="1" x14ac:dyDescent="0.25">
      <c r="B140" s="4" t="s">
        <v>60</v>
      </c>
      <c r="C140" s="5" t="s">
        <v>149</v>
      </c>
      <c r="D140" s="5" t="s">
        <v>65</v>
      </c>
      <c r="E140" s="5" t="s">
        <v>54</v>
      </c>
      <c r="F140" s="5" t="s">
        <v>63</v>
      </c>
      <c r="G140" s="14">
        <v>43712</v>
      </c>
      <c r="H140" s="5">
        <v>100122630</v>
      </c>
      <c r="I140" s="14">
        <v>43729</v>
      </c>
      <c r="J140" s="5">
        <v>7366</v>
      </c>
      <c r="K140" s="15">
        <v>651.21</v>
      </c>
      <c r="L140" s="15">
        <v>524.96</v>
      </c>
      <c r="M140" s="15">
        <v>4796812.8600000003</v>
      </c>
      <c r="N140" s="15">
        <v>3866855.3600000003</v>
      </c>
      <c r="O140" s="16">
        <v>929957.5</v>
      </c>
    </row>
    <row r="141" spans="2:15" ht="18.75" hidden="1" x14ac:dyDescent="0.25">
      <c r="B141" s="4" t="s">
        <v>81</v>
      </c>
      <c r="C141" s="5" t="s">
        <v>102</v>
      </c>
      <c r="D141" s="5" t="s">
        <v>58</v>
      </c>
      <c r="E141" s="5" t="s">
        <v>54</v>
      </c>
      <c r="F141" s="5" t="s">
        <v>63</v>
      </c>
      <c r="G141" s="14">
        <v>43755</v>
      </c>
      <c r="H141" s="5">
        <v>100125634</v>
      </c>
      <c r="I141" s="14">
        <v>43793</v>
      </c>
      <c r="J141" s="5">
        <v>8255</v>
      </c>
      <c r="K141" s="15">
        <v>255.28</v>
      </c>
      <c r="L141" s="15">
        <v>159.41999999999999</v>
      </c>
      <c r="M141" s="15">
        <v>2107336.4</v>
      </c>
      <c r="N141" s="15">
        <v>1316012.0999999999</v>
      </c>
      <c r="O141" s="16">
        <v>791324.3</v>
      </c>
    </row>
    <row r="142" spans="2:15" ht="18.75" hidden="1" x14ac:dyDescent="0.25">
      <c r="B142" s="4" t="s">
        <v>60</v>
      </c>
      <c r="C142" s="5" t="s">
        <v>193</v>
      </c>
      <c r="D142" s="5" t="s">
        <v>65</v>
      </c>
      <c r="E142" s="5" t="s">
        <v>54</v>
      </c>
      <c r="F142" s="5" t="s">
        <v>55</v>
      </c>
      <c r="G142" s="14">
        <v>40933</v>
      </c>
      <c r="H142" s="5">
        <v>100126063</v>
      </c>
      <c r="I142" s="14">
        <v>40966</v>
      </c>
      <c r="J142" s="5">
        <v>8382</v>
      </c>
      <c r="K142" s="15">
        <v>651.21</v>
      </c>
      <c r="L142" s="15">
        <v>524.96</v>
      </c>
      <c r="M142" s="15">
        <v>5458442.2200000007</v>
      </c>
      <c r="N142" s="15">
        <v>4400214.7200000007</v>
      </c>
      <c r="O142" s="16">
        <v>1058227.5</v>
      </c>
    </row>
    <row r="143" spans="2:15" ht="18.75" hidden="1" x14ac:dyDescent="0.25">
      <c r="B143" s="4" t="s">
        <v>81</v>
      </c>
      <c r="C143" s="5" t="s">
        <v>194</v>
      </c>
      <c r="D143" s="5" t="s">
        <v>62</v>
      </c>
      <c r="E143" s="5" t="s">
        <v>54</v>
      </c>
      <c r="F143" s="5" t="s">
        <v>70</v>
      </c>
      <c r="G143" s="14">
        <v>43208</v>
      </c>
      <c r="H143" s="5">
        <v>100126922</v>
      </c>
      <c r="I143" s="14">
        <v>43233</v>
      </c>
      <c r="J143" s="5">
        <v>8636</v>
      </c>
      <c r="K143" s="15">
        <v>437.2</v>
      </c>
      <c r="L143" s="15">
        <v>263.33</v>
      </c>
      <c r="M143" s="15">
        <v>3775659.1999999997</v>
      </c>
      <c r="N143" s="15">
        <v>2274117.88</v>
      </c>
      <c r="O143" s="16">
        <v>1501541.3199999998</v>
      </c>
    </row>
    <row r="144" spans="2:15" ht="18.75" hidden="1" x14ac:dyDescent="0.25">
      <c r="B144" s="4" t="s">
        <v>51</v>
      </c>
      <c r="C144" s="5" t="s">
        <v>195</v>
      </c>
      <c r="D144" s="5" t="s">
        <v>78</v>
      </c>
      <c r="E144" s="5" t="s">
        <v>54</v>
      </c>
      <c r="F144" s="5" t="s">
        <v>59</v>
      </c>
      <c r="G144" s="14">
        <v>41524</v>
      </c>
      <c r="H144" s="5">
        <v>100127780</v>
      </c>
      <c r="I144" s="14">
        <v>41540</v>
      </c>
      <c r="J144" s="5">
        <v>8890</v>
      </c>
      <c r="K144" s="15">
        <v>47.45</v>
      </c>
      <c r="L144" s="15">
        <v>31.79</v>
      </c>
      <c r="M144" s="15">
        <v>421830.5</v>
      </c>
      <c r="N144" s="15">
        <v>282613.09999999998</v>
      </c>
      <c r="O144" s="16">
        <v>139217.40000000002</v>
      </c>
    </row>
    <row r="145" spans="2:15" ht="18.75" hidden="1" x14ac:dyDescent="0.25">
      <c r="B145" s="4" t="s">
        <v>74</v>
      </c>
      <c r="C145" s="5" t="s">
        <v>104</v>
      </c>
      <c r="D145" s="5" t="s">
        <v>80</v>
      </c>
      <c r="E145" s="5" t="s">
        <v>54</v>
      </c>
      <c r="F145" s="5" t="s">
        <v>63</v>
      </c>
      <c r="G145" s="14">
        <v>43798</v>
      </c>
      <c r="H145" s="5">
        <v>100128638</v>
      </c>
      <c r="I145" s="14">
        <v>43805</v>
      </c>
      <c r="J145" s="5">
        <v>9144</v>
      </c>
      <c r="K145" s="15">
        <v>668.27</v>
      </c>
      <c r="L145" s="15">
        <v>502.54</v>
      </c>
      <c r="M145" s="15">
        <v>6110660.8799999999</v>
      </c>
      <c r="N145" s="15">
        <v>4595225.76</v>
      </c>
      <c r="O145" s="16">
        <v>1515435.12</v>
      </c>
    </row>
    <row r="146" spans="2:15" ht="18.75" hidden="1" x14ac:dyDescent="0.25">
      <c r="B146" s="4" t="s">
        <v>51</v>
      </c>
      <c r="C146" s="5" t="s">
        <v>196</v>
      </c>
      <c r="D146" s="5" t="s">
        <v>68</v>
      </c>
      <c r="E146" s="5" t="s">
        <v>54</v>
      </c>
      <c r="F146" s="5" t="s">
        <v>70</v>
      </c>
      <c r="G146" s="14">
        <v>43251</v>
      </c>
      <c r="H146" s="5">
        <v>100129926</v>
      </c>
      <c r="I146" s="14">
        <v>43296</v>
      </c>
      <c r="J146" s="5">
        <v>9525</v>
      </c>
      <c r="K146" s="15">
        <v>109.28</v>
      </c>
      <c r="L146" s="15">
        <v>35.840000000000003</v>
      </c>
      <c r="M146" s="15">
        <v>1040892</v>
      </c>
      <c r="N146" s="15">
        <v>341376.00000000006</v>
      </c>
      <c r="O146" s="16">
        <v>699516</v>
      </c>
    </row>
    <row r="147" spans="2:15" ht="18.75" hidden="1" x14ac:dyDescent="0.25">
      <c r="B147" s="4" t="s">
        <v>81</v>
      </c>
      <c r="C147" s="5" t="s">
        <v>197</v>
      </c>
      <c r="D147" s="5" t="s">
        <v>62</v>
      </c>
      <c r="E147" s="5" t="s">
        <v>54</v>
      </c>
      <c r="F147" s="5" t="s">
        <v>70</v>
      </c>
      <c r="G147" s="14">
        <v>40430</v>
      </c>
      <c r="H147" s="5">
        <v>100130355</v>
      </c>
      <c r="I147" s="14">
        <v>40471</v>
      </c>
      <c r="J147" s="5">
        <v>9652</v>
      </c>
      <c r="K147" s="15">
        <v>437.2</v>
      </c>
      <c r="L147" s="15">
        <v>263.33</v>
      </c>
      <c r="M147" s="15">
        <v>4219854.3999999994</v>
      </c>
      <c r="N147" s="15">
        <v>2541661.1599999997</v>
      </c>
      <c r="O147" s="16">
        <v>1678193.2399999998</v>
      </c>
    </row>
    <row r="148" spans="2:15" ht="18.75" hidden="1" x14ac:dyDescent="0.25">
      <c r="B148" s="4" t="s">
        <v>56</v>
      </c>
      <c r="C148" s="5" t="s">
        <v>106</v>
      </c>
      <c r="D148" s="5" t="s">
        <v>76</v>
      </c>
      <c r="E148" s="5" t="s">
        <v>54</v>
      </c>
      <c r="F148" s="5" t="s">
        <v>59</v>
      </c>
      <c r="G148" s="14">
        <v>41567</v>
      </c>
      <c r="H148" s="5">
        <v>100130784</v>
      </c>
      <c r="I148" s="14">
        <v>41603</v>
      </c>
      <c r="J148" s="5">
        <v>9779</v>
      </c>
      <c r="K148" s="15">
        <v>421.89</v>
      </c>
      <c r="L148" s="15">
        <v>364.69</v>
      </c>
      <c r="M148" s="15">
        <v>4125662.31</v>
      </c>
      <c r="N148" s="15">
        <v>3566303.51</v>
      </c>
      <c r="O148" s="16">
        <v>559358.80000000028</v>
      </c>
    </row>
    <row r="149" spans="2:15" ht="18.75" hidden="1" x14ac:dyDescent="0.25">
      <c r="B149" s="4" t="s">
        <v>51</v>
      </c>
      <c r="C149" s="5" t="s">
        <v>107</v>
      </c>
      <c r="D149" s="5" t="s">
        <v>78</v>
      </c>
      <c r="E149" s="5" t="s">
        <v>54</v>
      </c>
      <c r="F149" s="5" t="s">
        <v>59</v>
      </c>
      <c r="G149" s="14">
        <v>42704</v>
      </c>
      <c r="H149" s="5">
        <v>100131213</v>
      </c>
      <c r="I149" s="14">
        <v>42736</v>
      </c>
      <c r="J149" s="5">
        <v>9906</v>
      </c>
      <c r="K149" s="15">
        <v>47.45</v>
      </c>
      <c r="L149" s="15">
        <v>31.79</v>
      </c>
      <c r="M149" s="15">
        <v>470039.7</v>
      </c>
      <c r="N149" s="15">
        <v>314911.74</v>
      </c>
      <c r="O149" s="16">
        <v>155127.96000000002</v>
      </c>
    </row>
    <row r="150" spans="2:15" ht="18.75" hidden="1" x14ac:dyDescent="0.25">
      <c r="B150" s="4" t="s">
        <v>81</v>
      </c>
      <c r="C150" s="5" t="s">
        <v>108</v>
      </c>
      <c r="D150" s="5" t="s">
        <v>65</v>
      </c>
      <c r="E150" s="5" t="s">
        <v>54</v>
      </c>
      <c r="F150" s="5" t="s">
        <v>70</v>
      </c>
      <c r="G150" s="14">
        <v>43294</v>
      </c>
      <c r="H150" s="5">
        <v>100132930</v>
      </c>
      <c r="I150" s="14">
        <v>43309</v>
      </c>
      <c r="J150" s="5">
        <v>414</v>
      </c>
      <c r="K150" s="15">
        <v>651.21</v>
      </c>
      <c r="L150" s="15">
        <v>524.96</v>
      </c>
      <c r="M150" s="15">
        <v>269600.94</v>
      </c>
      <c r="N150" s="15">
        <v>217333.44</v>
      </c>
      <c r="O150" s="16">
        <v>52267.5</v>
      </c>
    </row>
    <row r="151" spans="2:15" ht="18.75" hidden="1" x14ac:dyDescent="0.25">
      <c r="B151" s="4" t="s">
        <v>81</v>
      </c>
      <c r="C151" s="5" t="s">
        <v>110</v>
      </c>
      <c r="D151" s="5" t="s">
        <v>76</v>
      </c>
      <c r="E151" s="5" t="s">
        <v>54</v>
      </c>
      <c r="F151" s="5" t="s">
        <v>59</v>
      </c>
      <c r="G151" s="14">
        <v>42747</v>
      </c>
      <c r="H151" s="5">
        <v>100134217</v>
      </c>
      <c r="I151" s="14">
        <v>42749</v>
      </c>
      <c r="J151" s="5">
        <v>795</v>
      </c>
      <c r="K151" s="15">
        <v>421.89</v>
      </c>
      <c r="L151" s="15">
        <v>364.69</v>
      </c>
      <c r="M151" s="15">
        <v>335402.55</v>
      </c>
      <c r="N151" s="15">
        <v>289928.55</v>
      </c>
      <c r="O151" s="16">
        <v>45474</v>
      </c>
    </row>
    <row r="152" spans="2:15" ht="18.75" hidden="1" x14ac:dyDescent="0.25">
      <c r="B152" s="4" t="s">
        <v>51</v>
      </c>
      <c r="C152" s="5" t="s">
        <v>111</v>
      </c>
      <c r="D152" s="5" t="s">
        <v>78</v>
      </c>
      <c r="E152" s="5" t="s">
        <v>54</v>
      </c>
      <c r="F152" s="5" t="s">
        <v>63</v>
      </c>
      <c r="G152" s="14">
        <v>43885</v>
      </c>
      <c r="H152" s="5">
        <v>100134646</v>
      </c>
      <c r="I152" s="14">
        <v>43933</v>
      </c>
      <c r="J152" s="5">
        <v>922</v>
      </c>
      <c r="K152" s="15">
        <v>47.45</v>
      </c>
      <c r="L152" s="15">
        <v>31.79</v>
      </c>
      <c r="M152" s="15">
        <v>43748.9</v>
      </c>
      <c r="N152" s="15">
        <v>29310.38</v>
      </c>
      <c r="O152" s="16">
        <v>14438.52</v>
      </c>
    </row>
    <row r="153" spans="2:15" ht="18.75" hidden="1" x14ac:dyDescent="0.25">
      <c r="B153" s="4" t="s">
        <v>72</v>
      </c>
      <c r="C153" s="5" t="s">
        <v>198</v>
      </c>
      <c r="D153" s="5" t="s">
        <v>96</v>
      </c>
      <c r="E153" s="5" t="s">
        <v>54</v>
      </c>
      <c r="F153" s="5" t="s">
        <v>63</v>
      </c>
      <c r="G153" s="14">
        <v>41063</v>
      </c>
      <c r="H153" s="5">
        <v>100135076</v>
      </c>
      <c r="I153" s="14">
        <v>41107</v>
      </c>
      <c r="J153" s="5">
        <v>1049</v>
      </c>
      <c r="K153" s="15">
        <v>154.06</v>
      </c>
      <c r="L153" s="15">
        <v>90.93</v>
      </c>
      <c r="M153" s="15">
        <v>161608.94</v>
      </c>
      <c r="N153" s="15">
        <v>95385.57</v>
      </c>
      <c r="O153" s="16">
        <v>66223.37</v>
      </c>
    </row>
    <row r="154" spans="2:15" ht="18.75" hidden="1" x14ac:dyDescent="0.25">
      <c r="B154" s="4" t="s">
        <v>81</v>
      </c>
      <c r="C154" s="5" t="s">
        <v>199</v>
      </c>
      <c r="D154" s="5" t="s">
        <v>65</v>
      </c>
      <c r="E154" s="5" t="s">
        <v>54</v>
      </c>
      <c r="F154" s="5" t="s">
        <v>70</v>
      </c>
      <c r="G154" s="14">
        <v>40516</v>
      </c>
      <c r="H154" s="5">
        <v>100136363</v>
      </c>
      <c r="I154" s="14">
        <v>40547</v>
      </c>
      <c r="J154" s="5">
        <v>1430</v>
      </c>
      <c r="K154" s="15">
        <v>651.21</v>
      </c>
      <c r="L154" s="15">
        <v>524.96</v>
      </c>
      <c r="M154" s="15">
        <v>931230.3</v>
      </c>
      <c r="N154" s="15">
        <v>750692.8</v>
      </c>
      <c r="O154" s="16">
        <v>180537.5</v>
      </c>
    </row>
    <row r="155" spans="2:15" ht="18.75" hidden="1" x14ac:dyDescent="0.25">
      <c r="B155" s="4" t="s">
        <v>60</v>
      </c>
      <c r="C155" s="5" t="s">
        <v>200</v>
      </c>
      <c r="D155" s="5" t="s">
        <v>88</v>
      </c>
      <c r="E155" s="5" t="s">
        <v>54</v>
      </c>
      <c r="F155" s="5" t="s">
        <v>70</v>
      </c>
      <c r="G155" s="14">
        <v>41653</v>
      </c>
      <c r="H155" s="5">
        <v>100136792</v>
      </c>
      <c r="I155" s="14">
        <v>41679</v>
      </c>
      <c r="J155" s="5">
        <v>1557</v>
      </c>
      <c r="K155" s="15">
        <v>152.58000000000001</v>
      </c>
      <c r="L155" s="15">
        <v>97.44</v>
      </c>
      <c r="M155" s="15">
        <v>237567.06000000003</v>
      </c>
      <c r="N155" s="15">
        <v>151714.07999999999</v>
      </c>
      <c r="O155" s="16">
        <v>85852.98000000004</v>
      </c>
    </row>
    <row r="156" spans="2:15" ht="18.75" hidden="1" x14ac:dyDescent="0.25">
      <c r="B156" s="4" t="s">
        <v>60</v>
      </c>
      <c r="C156" s="5" t="s">
        <v>201</v>
      </c>
      <c r="D156" s="5" t="s">
        <v>78</v>
      </c>
      <c r="E156" s="5" t="s">
        <v>54</v>
      </c>
      <c r="F156" s="5" t="s">
        <v>63</v>
      </c>
      <c r="G156" s="14">
        <v>41106</v>
      </c>
      <c r="H156" s="5">
        <v>100138080</v>
      </c>
      <c r="I156" s="14">
        <v>41119</v>
      </c>
      <c r="J156" s="5">
        <v>1938</v>
      </c>
      <c r="K156" s="15">
        <v>47.45</v>
      </c>
      <c r="L156" s="15">
        <v>31.79</v>
      </c>
      <c r="M156" s="15">
        <v>91958.1</v>
      </c>
      <c r="N156" s="15">
        <v>61609.02</v>
      </c>
      <c r="O156" s="16">
        <v>30349.080000000009</v>
      </c>
    </row>
    <row r="157" spans="2:15" ht="18.75" hidden="1" x14ac:dyDescent="0.25">
      <c r="B157" s="4" t="s">
        <v>74</v>
      </c>
      <c r="C157" s="5" t="s">
        <v>118</v>
      </c>
      <c r="D157" s="5" t="s">
        <v>100</v>
      </c>
      <c r="E157" s="5" t="s">
        <v>54</v>
      </c>
      <c r="F157" s="5" t="s">
        <v>70</v>
      </c>
      <c r="G157" s="14">
        <v>40559</v>
      </c>
      <c r="H157" s="5">
        <v>100139367</v>
      </c>
      <c r="I157" s="14">
        <v>40559</v>
      </c>
      <c r="J157" s="5">
        <v>2319</v>
      </c>
      <c r="K157" s="15">
        <v>205.7</v>
      </c>
      <c r="L157" s="15">
        <v>117.11</v>
      </c>
      <c r="M157" s="15">
        <v>477018.3</v>
      </c>
      <c r="N157" s="15">
        <v>271578.09000000003</v>
      </c>
      <c r="O157" s="16">
        <v>205440.20999999996</v>
      </c>
    </row>
    <row r="158" spans="2:15" ht="18.75" x14ac:dyDescent="0.25">
      <c r="B158" s="4" t="s">
        <v>51</v>
      </c>
      <c r="C158" s="5" t="s">
        <v>52</v>
      </c>
      <c r="D158" s="5" t="s">
        <v>62</v>
      </c>
      <c r="E158" s="5" t="s">
        <v>54</v>
      </c>
      <c r="F158" s="5" t="s">
        <v>59</v>
      </c>
      <c r="G158" s="14">
        <v>43971</v>
      </c>
      <c r="H158" s="5">
        <v>100140655</v>
      </c>
      <c r="I158" s="14">
        <v>44009</v>
      </c>
      <c r="J158" s="5">
        <v>2700</v>
      </c>
      <c r="K158" s="15">
        <v>437.2</v>
      </c>
      <c r="L158" s="15">
        <v>263.33</v>
      </c>
      <c r="M158" s="15">
        <v>1180440</v>
      </c>
      <c r="N158" s="15">
        <v>710991</v>
      </c>
      <c r="O158" s="16">
        <v>469449</v>
      </c>
    </row>
    <row r="159" spans="2:15" ht="18.75" hidden="1" x14ac:dyDescent="0.25">
      <c r="B159" s="4" t="s">
        <v>81</v>
      </c>
      <c r="C159" s="5" t="s">
        <v>119</v>
      </c>
      <c r="D159" s="5" t="s">
        <v>93</v>
      </c>
      <c r="E159" s="5" t="s">
        <v>54</v>
      </c>
      <c r="F159" s="5" t="s">
        <v>63</v>
      </c>
      <c r="G159" s="14">
        <v>41149</v>
      </c>
      <c r="H159" s="5">
        <v>100141084</v>
      </c>
      <c r="I159" s="14">
        <v>41183</v>
      </c>
      <c r="J159" s="5">
        <v>2827</v>
      </c>
      <c r="K159" s="15">
        <v>81.73</v>
      </c>
      <c r="L159" s="15">
        <v>56.67</v>
      </c>
      <c r="M159" s="15">
        <v>231050.71000000002</v>
      </c>
      <c r="N159" s="15">
        <v>160206.09</v>
      </c>
      <c r="O159" s="16">
        <v>70844.620000000024</v>
      </c>
    </row>
    <row r="160" spans="2:15" ht="18.75" hidden="1" x14ac:dyDescent="0.25">
      <c r="B160" s="4" t="s">
        <v>60</v>
      </c>
      <c r="C160" s="5" t="s">
        <v>120</v>
      </c>
      <c r="D160" s="5" t="s">
        <v>78</v>
      </c>
      <c r="E160" s="5" t="s">
        <v>54</v>
      </c>
      <c r="F160" s="5" t="s">
        <v>63</v>
      </c>
      <c r="G160" s="14">
        <v>42287</v>
      </c>
      <c r="H160" s="5">
        <v>100141513</v>
      </c>
      <c r="I160" s="14">
        <v>42316</v>
      </c>
      <c r="J160" s="5">
        <v>2954</v>
      </c>
      <c r="K160" s="15">
        <v>47.45</v>
      </c>
      <c r="L160" s="15">
        <v>31.79</v>
      </c>
      <c r="M160" s="15">
        <v>140167.30000000002</v>
      </c>
      <c r="N160" s="15">
        <v>93907.66</v>
      </c>
      <c r="O160" s="16">
        <v>46259.640000000014</v>
      </c>
    </row>
    <row r="161" spans="2:15" ht="18.75" hidden="1" x14ac:dyDescent="0.25">
      <c r="B161" s="4" t="s">
        <v>81</v>
      </c>
      <c r="C161" s="5" t="s">
        <v>121</v>
      </c>
      <c r="D161" s="5" t="s">
        <v>80</v>
      </c>
      <c r="E161" s="5" t="s">
        <v>54</v>
      </c>
      <c r="F161" s="5" t="s">
        <v>55</v>
      </c>
      <c r="G161" s="14">
        <v>40602</v>
      </c>
      <c r="H161" s="5">
        <v>100142371</v>
      </c>
      <c r="I161" s="14">
        <v>40623</v>
      </c>
      <c r="J161" s="5">
        <v>3208</v>
      </c>
      <c r="K161" s="15">
        <v>668.27</v>
      </c>
      <c r="L161" s="15">
        <v>502.54</v>
      </c>
      <c r="M161" s="15">
        <v>2143810.16</v>
      </c>
      <c r="N161" s="15">
        <v>1612148.32</v>
      </c>
      <c r="O161" s="16">
        <v>531661.84000000008</v>
      </c>
    </row>
    <row r="162" spans="2:15" ht="18.75" hidden="1" x14ac:dyDescent="0.25">
      <c r="B162" s="4" t="s">
        <v>60</v>
      </c>
      <c r="C162" s="5" t="s">
        <v>61</v>
      </c>
      <c r="D162" s="5" t="s">
        <v>100</v>
      </c>
      <c r="E162" s="5" t="s">
        <v>54</v>
      </c>
      <c r="F162" s="5" t="s">
        <v>70</v>
      </c>
      <c r="G162" s="14">
        <v>41739</v>
      </c>
      <c r="H162" s="5">
        <v>100142800</v>
      </c>
      <c r="I162" s="14">
        <v>41755</v>
      </c>
      <c r="J162" s="5">
        <v>3335</v>
      </c>
      <c r="K162" s="15">
        <v>205.7</v>
      </c>
      <c r="L162" s="15">
        <v>117.11</v>
      </c>
      <c r="M162" s="15">
        <v>686009.5</v>
      </c>
      <c r="N162" s="15">
        <v>390561.85</v>
      </c>
      <c r="O162" s="16">
        <v>295447.65000000002</v>
      </c>
    </row>
    <row r="163" spans="2:15" ht="18.75" hidden="1" x14ac:dyDescent="0.25">
      <c r="B163" s="4" t="s">
        <v>74</v>
      </c>
      <c r="C163" s="5" t="s">
        <v>123</v>
      </c>
      <c r="D163" s="5" t="s">
        <v>62</v>
      </c>
      <c r="E163" s="5" t="s">
        <v>54</v>
      </c>
      <c r="F163" s="5" t="s">
        <v>63</v>
      </c>
      <c r="G163" s="14">
        <v>41192</v>
      </c>
      <c r="H163" s="5">
        <v>100144088</v>
      </c>
      <c r="I163" s="14">
        <v>41195</v>
      </c>
      <c r="J163" s="5">
        <v>3716</v>
      </c>
      <c r="K163" s="15">
        <v>437.2</v>
      </c>
      <c r="L163" s="15">
        <v>263.33</v>
      </c>
      <c r="M163" s="15">
        <v>1624635.2</v>
      </c>
      <c r="N163" s="15">
        <v>978534.27999999991</v>
      </c>
      <c r="O163" s="16">
        <v>646100.92000000004</v>
      </c>
    </row>
    <row r="164" spans="2:15" ht="18.75" hidden="1" x14ac:dyDescent="0.25">
      <c r="B164" s="4" t="s">
        <v>51</v>
      </c>
      <c r="C164" s="5" t="s">
        <v>202</v>
      </c>
      <c r="D164" s="5" t="s">
        <v>96</v>
      </c>
      <c r="E164" s="5" t="s">
        <v>54</v>
      </c>
      <c r="F164" s="5" t="s">
        <v>55</v>
      </c>
      <c r="G164" s="14">
        <v>40645</v>
      </c>
      <c r="H164" s="5">
        <v>100145375</v>
      </c>
      <c r="I164" s="14">
        <v>40686</v>
      </c>
      <c r="J164" s="5">
        <v>4097</v>
      </c>
      <c r="K164" s="15">
        <v>154.06</v>
      </c>
      <c r="L164" s="15">
        <v>90.93</v>
      </c>
      <c r="M164" s="15">
        <v>631183.82000000007</v>
      </c>
      <c r="N164" s="15">
        <v>372540.21</v>
      </c>
      <c r="O164" s="16">
        <v>258643.61000000004</v>
      </c>
    </row>
    <row r="165" spans="2:15" ht="18.75" hidden="1" x14ac:dyDescent="0.25">
      <c r="B165" s="4" t="s">
        <v>56</v>
      </c>
      <c r="C165" s="5" t="s">
        <v>124</v>
      </c>
      <c r="D165" s="5" t="s">
        <v>100</v>
      </c>
      <c r="E165" s="5" t="s">
        <v>54</v>
      </c>
      <c r="F165" s="5" t="s">
        <v>70</v>
      </c>
      <c r="G165" s="14">
        <v>42920</v>
      </c>
      <c r="H165" s="5">
        <v>100146234</v>
      </c>
      <c r="I165" s="14">
        <v>42952</v>
      </c>
      <c r="J165" s="5">
        <v>4351</v>
      </c>
      <c r="K165" s="15">
        <v>205.7</v>
      </c>
      <c r="L165" s="15">
        <v>117.11</v>
      </c>
      <c r="M165" s="15">
        <v>895000.7</v>
      </c>
      <c r="N165" s="15">
        <v>509545.61</v>
      </c>
      <c r="O165" s="16">
        <v>385455.08999999997</v>
      </c>
    </row>
    <row r="166" spans="2:15" ht="18.75" hidden="1" x14ac:dyDescent="0.25">
      <c r="B166" s="4" t="s">
        <v>81</v>
      </c>
      <c r="C166" s="5" t="s">
        <v>126</v>
      </c>
      <c r="D166" s="5" t="s">
        <v>88</v>
      </c>
      <c r="E166" s="5" t="s">
        <v>54</v>
      </c>
      <c r="F166" s="5" t="s">
        <v>59</v>
      </c>
      <c r="G166" s="14">
        <v>41236</v>
      </c>
      <c r="H166" s="5">
        <v>100147092</v>
      </c>
      <c r="I166" s="14">
        <v>41260</v>
      </c>
      <c r="J166" s="5">
        <v>4605</v>
      </c>
      <c r="K166" s="15">
        <v>152.58000000000001</v>
      </c>
      <c r="L166" s="15">
        <v>97.44</v>
      </c>
      <c r="M166" s="15">
        <v>702630.9</v>
      </c>
      <c r="N166" s="15">
        <v>448711.2</v>
      </c>
      <c r="O166" s="16">
        <v>253919.7</v>
      </c>
    </row>
    <row r="167" spans="2:15" ht="18.75" hidden="1" x14ac:dyDescent="0.25">
      <c r="B167" s="4" t="s">
        <v>51</v>
      </c>
      <c r="C167" s="5" t="s">
        <v>128</v>
      </c>
      <c r="D167" s="5" t="s">
        <v>93</v>
      </c>
      <c r="E167" s="5" t="s">
        <v>54</v>
      </c>
      <c r="F167" s="5" t="s">
        <v>55</v>
      </c>
      <c r="G167" s="14">
        <v>43510</v>
      </c>
      <c r="H167" s="5">
        <v>100147950</v>
      </c>
      <c r="I167" s="14">
        <v>43525</v>
      </c>
      <c r="J167" s="5">
        <v>4859</v>
      </c>
      <c r="K167" s="15">
        <v>81.73</v>
      </c>
      <c r="L167" s="15">
        <v>56.67</v>
      </c>
      <c r="M167" s="15">
        <v>397126.07</v>
      </c>
      <c r="N167" s="15">
        <v>275359.53000000003</v>
      </c>
      <c r="O167" s="16">
        <v>121766.53999999998</v>
      </c>
    </row>
    <row r="168" spans="2:15" ht="18.75" hidden="1" x14ac:dyDescent="0.25">
      <c r="B168" s="4" t="s">
        <v>81</v>
      </c>
      <c r="C168" s="5" t="s">
        <v>129</v>
      </c>
      <c r="D168" s="5" t="s">
        <v>78</v>
      </c>
      <c r="E168" s="5" t="s">
        <v>54</v>
      </c>
      <c r="F168" s="5" t="s">
        <v>55</v>
      </c>
      <c r="G168" s="14">
        <v>40689</v>
      </c>
      <c r="H168" s="5">
        <v>100148379</v>
      </c>
      <c r="I168" s="14">
        <v>40700</v>
      </c>
      <c r="J168" s="5">
        <v>4986</v>
      </c>
      <c r="K168" s="15">
        <v>47.45</v>
      </c>
      <c r="L168" s="15">
        <v>31.79</v>
      </c>
      <c r="M168" s="15">
        <v>236585.7</v>
      </c>
      <c r="N168" s="15">
        <v>158504.94</v>
      </c>
      <c r="O168" s="16">
        <v>78080.760000000009</v>
      </c>
    </row>
    <row r="169" spans="2:15" ht="18.75" hidden="1" x14ac:dyDescent="0.25">
      <c r="B169" s="4" t="s">
        <v>74</v>
      </c>
      <c r="C169" s="5" t="s">
        <v>75</v>
      </c>
      <c r="D169" s="5" t="s">
        <v>65</v>
      </c>
      <c r="E169" s="5" t="s">
        <v>54</v>
      </c>
      <c r="F169" s="5" t="s">
        <v>59</v>
      </c>
      <c r="G169" s="14">
        <v>41279</v>
      </c>
      <c r="H169" s="5">
        <v>100150096</v>
      </c>
      <c r="I169" s="14">
        <v>41323</v>
      </c>
      <c r="J169" s="5">
        <v>5494</v>
      </c>
      <c r="K169" s="15">
        <v>651.21</v>
      </c>
      <c r="L169" s="15">
        <v>524.96</v>
      </c>
      <c r="M169" s="15">
        <v>3577747.74</v>
      </c>
      <c r="N169" s="15">
        <v>2884130.24</v>
      </c>
      <c r="O169" s="16">
        <v>693617.5</v>
      </c>
    </row>
    <row r="170" spans="2:15" ht="18.75" hidden="1" x14ac:dyDescent="0.25">
      <c r="B170" s="4" t="s">
        <v>51</v>
      </c>
      <c r="C170" s="5" t="s">
        <v>79</v>
      </c>
      <c r="D170" s="5" t="s">
        <v>93</v>
      </c>
      <c r="E170" s="5" t="s">
        <v>54</v>
      </c>
      <c r="F170" s="5" t="s">
        <v>55</v>
      </c>
      <c r="G170" s="14">
        <v>40732</v>
      </c>
      <c r="H170" s="5">
        <v>100151383</v>
      </c>
      <c r="I170" s="14">
        <v>40763</v>
      </c>
      <c r="J170" s="5">
        <v>5875</v>
      </c>
      <c r="K170" s="15">
        <v>81.73</v>
      </c>
      <c r="L170" s="15">
        <v>56.67</v>
      </c>
      <c r="M170" s="15">
        <v>480163.75</v>
      </c>
      <c r="N170" s="15">
        <v>332936.25</v>
      </c>
      <c r="O170" s="16">
        <v>147227.5</v>
      </c>
    </row>
    <row r="171" spans="2:15" ht="18.75" hidden="1" x14ac:dyDescent="0.25">
      <c r="B171" s="4" t="s">
        <v>81</v>
      </c>
      <c r="C171" s="5" t="s">
        <v>138</v>
      </c>
      <c r="D171" s="5" t="s">
        <v>100</v>
      </c>
      <c r="E171" s="5" t="s">
        <v>54</v>
      </c>
      <c r="F171" s="5" t="s">
        <v>59</v>
      </c>
      <c r="G171" s="14">
        <v>41322</v>
      </c>
      <c r="H171" s="5">
        <v>100153100</v>
      </c>
      <c r="I171" s="14">
        <v>41336</v>
      </c>
      <c r="J171" s="5">
        <v>6383</v>
      </c>
      <c r="K171" s="15">
        <v>205.7</v>
      </c>
      <c r="L171" s="15">
        <v>117.11</v>
      </c>
      <c r="M171" s="15">
        <v>1312983.0999999999</v>
      </c>
      <c r="N171" s="15">
        <v>747513.13</v>
      </c>
      <c r="O171" s="16">
        <v>565469.96999999986</v>
      </c>
    </row>
    <row r="172" spans="2:15" ht="18.75" hidden="1" x14ac:dyDescent="0.25">
      <c r="B172" s="4" t="s">
        <v>60</v>
      </c>
      <c r="C172" s="5" t="s">
        <v>139</v>
      </c>
      <c r="D172" s="5" t="s">
        <v>65</v>
      </c>
      <c r="E172" s="5" t="s">
        <v>54</v>
      </c>
      <c r="F172" s="5" t="s">
        <v>63</v>
      </c>
      <c r="G172" s="14">
        <v>42459</v>
      </c>
      <c r="H172" s="5">
        <v>100153529</v>
      </c>
      <c r="I172" s="14">
        <v>42468</v>
      </c>
      <c r="J172" s="5">
        <v>6510</v>
      </c>
      <c r="K172" s="15">
        <v>651.21</v>
      </c>
      <c r="L172" s="15">
        <v>524.96</v>
      </c>
      <c r="M172" s="15">
        <v>4239377.1000000006</v>
      </c>
      <c r="N172" s="15">
        <v>3417489.6</v>
      </c>
      <c r="O172" s="16">
        <v>821887.50000000047</v>
      </c>
    </row>
    <row r="173" spans="2:15" ht="18.75" hidden="1" x14ac:dyDescent="0.25">
      <c r="B173" s="4" t="s">
        <v>72</v>
      </c>
      <c r="C173" s="5" t="s">
        <v>186</v>
      </c>
      <c r="D173" s="5" t="s">
        <v>58</v>
      </c>
      <c r="E173" s="5" t="s">
        <v>54</v>
      </c>
      <c r="F173" s="5" t="s">
        <v>70</v>
      </c>
      <c r="G173" s="14">
        <v>43049</v>
      </c>
      <c r="H173" s="5">
        <v>100155246</v>
      </c>
      <c r="I173" s="14">
        <v>43092</v>
      </c>
      <c r="J173" s="5">
        <v>7018</v>
      </c>
      <c r="K173" s="15">
        <v>255.28</v>
      </c>
      <c r="L173" s="15">
        <v>159.41999999999999</v>
      </c>
      <c r="M173" s="15">
        <v>1791555.04</v>
      </c>
      <c r="N173" s="15">
        <v>1118809.5599999998</v>
      </c>
      <c r="O173" s="16">
        <v>672745.48000000021</v>
      </c>
    </row>
    <row r="174" spans="2:15" ht="18.75" hidden="1" x14ac:dyDescent="0.25">
      <c r="B174" s="4" t="s">
        <v>56</v>
      </c>
      <c r="C174" s="5" t="s">
        <v>203</v>
      </c>
      <c r="D174" s="5" t="s">
        <v>96</v>
      </c>
      <c r="E174" s="5" t="s">
        <v>54</v>
      </c>
      <c r="F174" s="5" t="s">
        <v>70</v>
      </c>
      <c r="G174" s="14">
        <v>40228</v>
      </c>
      <c r="H174" s="5">
        <v>100155675</v>
      </c>
      <c r="I174" s="14">
        <v>40267</v>
      </c>
      <c r="J174" s="5">
        <v>7145</v>
      </c>
      <c r="K174" s="15">
        <v>154.06</v>
      </c>
      <c r="L174" s="15">
        <v>90.93</v>
      </c>
      <c r="M174" s="15">
        <v>1100758.7</v>
      </c>
      <c r="N174" s="15">
        <v>649694.85000000009</v>
      </c>
      <c r="O174" s="16">
        <v>451063.84999999986</v>
      </c>
    </row>
    <row r="175" spans="2:15" ht="18.75" hidden="1" x14ac:dyDescent="0.25">
      <c r="B175" s="4" t="s">
        <v>51</v>
      </c>
      <c r="C175" s="5" t="s">
        <v>204</v>
      </c>
      <c r="D175" s="5" t="s">
        <v>68</v>
      </c>
      <c r="E175" s="5" t="s">
        <v>54</v>
      </c>
      <c r="F175" s="5" t="s">
        <v>59</v>
      </c>
      <c r="G175" s="14">
        <v>41365</v>
      </c>
      <c r="H175" s="5">
        <v>100156104</v>
      </c>
      <c r="I175" s="14">
        <v>41399</v>
      </c>
      <c r="J175" s="5">
        <v>7272</v>
      </c>
      <c r="K175" s="15">
        <v>109.28</v>
      </c>
      <c r="L175" s="15">
        <v>35.840000000000003</v>
      </c>
      <c r="M175" s="15">
        <v>794684.16</v>
      </c>
      <c r="N175" s="15">
        <v>260628.48000000001</v>
      </c>
      <c r="O175" s="16">
        <v>534055.68000000005</v>
      </c>
    </row>
    <row r="176" spans="2:15" ht="18.75" hidden="1" x14ac:dyDescent="0.25">
      <c r="B176" s="4" t="s">
        <v>81</v>
      </c>
      <c r="C176" s="5" t="s">
        <v>142</v>
      </c>
      <c r="D176" s="5" t="s">
        <v>100</v>
      </c>
      <c r="E176" s="5" t="s">
        <v>54</v>
      </c>
      <c r="F176" s="5" t="s">
        <v>59</v>
      </c>
      <c r="G176" s="14">
        <v>42502</v>
      </c>
      <c r="H176" s="5">
        <v>100156533</v>
      </c>
      <c r="I176" s="14">
        <v>42532</v>
      </c>
      <c r="J176" s="5">
        <v>7399</v>
      </c>
      <c r="K176" s="15">
        <v>205.7</v>
      </c>
      <c r="L176" s="15">
        <v>117.11</v>
      </c>
      <c r="M176" s="15">
        <v>1521974.2999999998</v>
      </c>
      <c r="N176" s="15">
        <v>866496.89</v>
      </c>
      <c r="O176" s="16">
        <v>655477.4099999998</v>
      </c>
    </row>
    <row r="177" spans="2:15" ht="18.75" hidden="1" x14ac:dyDescent="0.25">
      <c r="B177" s="4" t="s">
        <v>51</v>
      </c>
      <c r="C177" s="5" t="s">
        <v>205</v>
      </c>
      <c r="D177" s="5" t="s">
        <v>58</v>
      </c>
      <c r="E177" s="5" t="s">
        <v>54</v>
      </c>
      <c r="F177" s="5" t="s">
        <v>70</v>
      </c>
      <c r="G177" s="14">
        <v>40271</v>
      </c>
      <c r="H177" s="5">
        <v>100158679</v>
      </c>
      <c r="I177" s="14">
        <v>40279</v>
      </c>
      <c r="J177" s="5">
        <v>8034</v>
      </c>
      <c r="K177" s="15">
        <v>255.28</v>
      </c>
      <c r="L177" s="15">
        <v>159.41999999999999</v>
      </c>
      <c r="M177" s="15">
        <v>2050919.52</v>
      </c>
      <c r="N177" s="15">
        <v>1280780.2799999998</v>
      </c>
      <c r="O177" s="16">
        <v>770139.24000000022</v>
      </c>
    </row>
    <row r="178" spans="2:15" ht="18.75" hidden="1" x14ac:dyDescent="0.25">
      <c r="B178" s="4" t="s">
        <v>56</v>
      </c>
      <c r="C178" s="5" t="s">
        <v>92</v>
      </c>
      <c r="D178" s="5" t="s">
        <v>76</v>
      </c>
      <c r="E178" s="5" t="s">
        <v>54</v>
      </c>
      <c r="F178" s="5" t="s">
        <v>63</v>
      </c>
      <c r="G178" s="14">
        <v>40861</v>
      </c>
      <c r="H178" s="5">
        <v>100160396</v>
      </c>
      <c r="I178" s="14">
        <v>40903</v>
      </c>
      <c r="J178" s="5">
        <v>8542</v>
      </c>
      <c r="K178" s="15">
        <v>421.89</v>
      </c>
      <c r="L178" s="15">
        <v>364.69</v>
      </c>
      <c r="M178" s="15">
        <v>3603784.38</v>
      </c>
      <c r="N178" s="15">
        <v>3115181.98</v>
      </c>
      <c r="O178" s="16">
        <v>488602.39999999991</v>
      </c>
    </row>
    <row r="179" spans="2:15" ht="18.75" hidden="1" x14ac:dyDescent="0.25">
      <c r="B179" s="4" t="s">
        <v>51</v>
      </c>
      <c r="C179" s="5" t="s">
        <v>94</v>
      </c>
      <c r="D179" s="5" t="s">
        <v>88</v>
      </c>
      <c r="E179" s="5" t="s">
        <v>54</v>
      </c>
      <c r="F179" s="5" t="s">
        <v>55</v>
      </c>
      <c r="G179" s="14">
        <v>41998</v>
      </c>
      <c r="H179" s="5">
        <v>100160825</v>
      </c>
      <c r="I179" s="14">
        <v>42035</v>
      </c>
      <c r="J179" s="5">
        <v>8669</v>
      </c>
      <c r="K179" s="15">
        <v>152.58000000000001</v>
      </c>
      <c r="L179" s="15">
        <v>97.44</v>
      </c>
      <c r="M179" s="15">
        <v>1322716.02</v>
      </c>
      <c r="N179" s="15">
        <v>844707.36</v>
      </c>
      <c r="O179" s="16">
        <v>478008.66000000003</v>
      </c>
    </row>
    <row r="180" spans="2:15" ht="18.75" hidden="1" x14ac:dyDescent="0.25">
      <c r="B180" s="4" t="s">
        <v>66</v>
      </c>
      <c r="C180" s="5" t="s">
        <v>206</v>
      </c>
      <c r="D180" s="5" t="s">
        <v>53</v>
      </c>
      <c r="E180" s="5" t="s">
        <v>54</v>
      </c>
      <c r="F180" s="5" t="s">
        <v>55</v>
      </c>
      <c r="G180" s="14">
        <v>43136</v>
      </c>
      <c r="H180" s="5">
        <v>100161254</v>
      </c>
      <c r="I180" s="14">
        <v>43169</v>
      </c>
      <c r="J180" s="5">
        <v>8796</v>
      </c>
      <c r="K180" s="15">
        <v>9.33</v>
      </c>
      <c r="L180" s="15">
        <v>6.92</v>
      </c>
      <c r="M180" s="15">
        <v>82066.680000000008</v>
      </c>
      <c r="N180" s="15">
        <v>60868.32</v>
      </c>
      <c r="O180" s="16">
        <v>21198.360000000008</v>
      </c>
    </row>
    <row r="181" spans="2:15" ht="18.75" hidden="1" x14ac:dyDescent="0.25">
      <c r="B181" s="4" t="s">
        <v>56</v>
      </c>
      <c r="C181" s="5" t="s">
        <v>207</v>
      </c>
      <c r="D181" s="5" t="s">
        <v>93</v>
      </c>
      <c r="E181" s="5" t="s">
        <v>54</v>
      </c>
      <c r="F181" s="5" t="s">
        <v>70</v>
      </c>
      <c r="G181" s="14">
        <v>40314</v>
      </c>
      <c r="H181" s="5">
        <v>100161683</v>
      </c>
      <c r="I181" s="14">
        <v>40343</v>
      </c>
      <c r="J181" s="5">
        <v>8923</v>
      </c>
      <c r="K181" s="15">
        <v>81.73</v>
      </c>
      <c r="L181" s="15">
        <v>56.67</v>
      </c>
      <c r="M181" s="15">
        <v>729276.79</v>
      </c>
      <c r="N181" s="15">
        <v>505666.41000000003</v>
      </c>
      <c r="O181" s="16">
        <v>223610.38</v>
      </c>
    </row>
    <row r="182" spans="2:15" ht="18.75" hidden="1" x14ac:dyDescent="0.25">
      <c r="B182" s="4" t="s">
        <v>51</v>
      </c>
      <c r="C182" s="5" t="s">
        <v>208</v>
      </c>
      <c r="D182" s="5" t="s">
        <v>58</v>
      </c>
      <c r="E182" s="5" t="s">
        <v>54</v>
      </c>
      <c r="F182" s="5" t="s">
        <v>70</v>
      </c>
      <c r="G182" s="14">
        <v>41451</v>
      </c>
      <c r="H182" s="5">
        <v>100162112</v>
      </c>
      <c r="I182" s="14">
        <v>41475</v>
      </c>
      <c r="J182" s="5">
        <v>9050</v>
      </c>
      <c r="K182" s="15">
        <v>255.28</v>
      </c>
      <c r="L182" s="15">
        <v>159.41999999999999</v>
      </c>
      <c r="M182" s="15">
        <v>2310284</v>
      </c>
      <c r="N182" s="15">
        <v>1442751</v>
      </c>
      <c r="O182" s="16">
        <v>867533</v>
      </c>
    </row>
    <row r="183" spans="2:15" ht="18.75" hidden="1" x14ac:dyDescent="0.25">
      <c r="B183" s="4" t="s">
        <v>81</v>
      </c>
      <c r="C183" s="5" t="s">
        <v>148</v>
      </c>
      <c r="D183" s="5" t="s">
        <v>96</v>
      </c>
      <c r="E183" s="5" t="s">
        <v>54</v>
      </c>
      <c r="F183" s="5" t="s">
        <v>59</v>
      </c>
      <c r="G183" s="14">
        <v>42589</v>
      </c>
      <c r="H183" s="5">
        <v>100162541</v>
      </c>
      <c r="I183" s="14">
        <v>42609</v>
      </c>
      <c r="J183" s="5">
        <v>9177</v>
      </c>
      <c r="K183" s="15">
        <v>154.06</v>
      </c>
      <c r="L183" s="15">
        <v>90.93</v>
      </c>
      <c r="M183" s="15">
        <v>1413808.62</v>
      </c>
      <c r="N183" s="15">
        <v>834464.6100000001</v>
      </c>
      <c r="O183" s="16">
        <v>579344.01</v>
      </c>
    </row>
    <row r="184" spans="2:15" ht="18.75" hidden="1" x14ac:dyDescent="0.25">
      <c r="B184" s="4" t="s">
        <v>81</v>
      </c>
      <c r="C184" s="5" t="s">
        <v>180</v>
      </c>
      <c r="D184" s="5" t="s">
        <v>76</v>
      </c>
      <c r="E184" s="5" t="s">
        <v>54</v>
      </c>
      <c r="F184" s="5" t="s">
        <v>55</v>
      </c>
      <c r="G184" s="14">
        <v>42042</v>
      </c>
      <c r="H184" s="5">
        <v>100163829</v>
      </c>
      <c r="I184" s="14">
        <v>42049</v>
      </c>
      <c r="J184" s="5">
        <v>9558</v>
      </c>
      <c r="K184" s="15">
        <v>421.89</v>
      </c>
      <c r="L184" s="15">
        <v>364.69</v>
      </c>
      <c r="M184" s="15">
        <v>4032424.6199999996</v>
      </c>
      <c r="N184" s="15">
        <v>3485707.02</v>
      </c>
      <c r="O184" s="16">
        <v>546717.59999999963</v>
      </c>
    </row>
    <row r="185" spans="2:15" ht="18.75" hidden="1" x14ac:dyDescent="0.25">
      <c r="B185" s="4" t="s">
        <v>60</v>
      </c>
      <c r="C185" s="5" t="s">
        <v>149</v>
      </c>
      <c r="D185" s="5" t="s">
        <v>88</v>
      </c>
      <c r="E185" s="5" t="s">
        <v>54</v>
      </c>
      <c r="F185" s="5" t="s">
        <v>55</v>
      </c>
      <c r="G185" s="14">
        <v>43179</v>
      </c>
      <c r="H185" s="5">
        <v>100164258</v>
      </c>
      <c r="I185" s="14">
        <v>43181</v>
      </c>
      <c r="J185" s="5">
        <v>9685</v>
      </c>
      <c r="K185" s="15">
        <v>152.58000000000001</v>
      </c>
      <c r="L185" s="15">
        <v>97.44</v>
      </c>
      <c r="M185" s="15">
        <v>1477737.3</v>
      </c>
      <c r="N185" s="15">
        <v>943706.4</v>
      </c>
      <c r="O185" s="16">
        <v>534030.9</v>
      </c>
    </row>
    <row r="186" spans="2:15" ht="18.75" hidden="1" x14ac:dyDescent="0.25">
      <c r="B186" s="4" t="s">
        <v>72</v>
      </c>
      <c r="C186" s="5" t="s">
        <v>209</v>
      </c>
      <c r="D186" s="5" t="s">
        <v>53</v>
      </c>
      <c r="E186" s="5" t="s">
        <v>54</v>
      </c>
      <c r="F186" s="5" t="s">
        <v>70</v>
      </c>
      <c r="G186" s="14">
        <v>40357</v>
      </c>
      <c r="H186" s="5">
        <v>100164687</v>
      </c>
      <c r="I186" s="14">
        <v>40406</v>
      </c>
      <c r="J186" s="5">
        <v>9812</v>
      </c>
      <c r="K186" s="15">
        <v>9.33</v>
      </c>
      <c r="L186" s="15">
        <v>6.92</v>
      </c>
      <c r="M186" s="15">
        <v>91545.96</v>
      </c>
      <c r="N186" s="15">
        <v>67899.039999999994</v>
      </c>
      <c r="O186" s="16">
        <v>23646.920000000013</v>
      </c>
    </row>
    <row r="187" spans="2:15" ht="18.75" hidden="1" x14ac:dyDescent="0.25">
      <c r="B187" s="4" t="s">
        <v>81</v>
      </c>
      <c r="C187" s="5" t="s">
        <v>150</v>
      </c>
      <c r="D187" s="5" t="s">
        <v>93</v>
      </c>
      <c r="E187" s="5" t="s">
        <v>54</v>
      </c>
      <c r="F187" s="5" t="s">
        <v>70</v>
      </c>
      <c r="G187" s="14">
        <v>41495</v>
      </c>
      <c r="H187" s="5">
        <v>100165116</v>
      </c>
      <c r="I187" s="14">
        <v>41540</v>
      </c>
      <c r="J187" s="5">
        <v>9939</v>
      </c>
      <c r="K187" s="15">
        <v>81.73</v>
      </c>
      <c r="L187" s="15">
        <v>56.67</v>
      </c>
      <c r="M187" s="15">
        <v>812314.47000000009</v>
      </c>
      <c r="N187" s="15">
        <v>563243.13</v>
      </c>
      <c r="O187" s="16">
        <v>249071.34000000008</v>
      </c>
    </row>
    <row r="188" spans="2:15" ht="18.75" hidden="1" x14ac:dyDescent="0.25">
      <c r="B188" s="4" t="s">
        <v>74</v>
      </c>
      <c r="C188" s="5" t="s">
        <v>182</v>
      </c>
      <c r="D188" s="5" t="s">
        <v>58</v>
      </c>
      <c r="E188" s="5" t="s">
        <v>54</v>
      </c>
      <c r="F188" s="5" t="s">
        <v>59</v>
      </c>
      <c r="G188" s="14">
        <v>42632</v>
      </c>
      <c r="H188" s="5">
        <v>100165545</v>
      </c>
      <c r="I188" s="14">
        <v>42672</v>
      </c>
      <c r="J188" s="5">
        <v>66</v>
      </c>
      <c r="K188" s="15">
        <v>255.28</v>
      </c>
      <c r="L188" s="15">
        <v>159.41999999999999</v>
      </c>
      <c r="M188" s="15">
        <v>16848.48</v>
      </c>
      <c r="N188" s="15">
        <v>10521.72</v>
      </c>
      <c r="O188" s="16">
        <v>6326.76</v>
      </c>
    </row>
    <row r="189" spans="2:15" ht="18.75" hidden="1" x14ac:dyDescent="0.25">
      <c r="B189" s="4" t="s">
        <v>51</v>
      </c>
      <c r="C189" s="5" t="s">
        <v>151</v>
      </c>
      <c r="D189" s="5" t="s">
        <v>100</v>
      </c>
      <c r="E189" s="5" t="s">
        <v>54</v>
      </c>
      <c r="F189" s="5" t="s">
        <v>63</v>
      </c>
      <c r="G189" s="14">
        <v>42085</v>
      </c>
      <c r="H189" s="5">
        <v>100166833</v>
      </c>
      <c r="I189" s="14">
        <v>42112</v>
      </c>
      <c r="J189" s="5">
        <v>447</v>
      </c>
      <c r="K189" s="15">
        <v>205.7</v>
      </c>
      <c r="L189" s="15">
        <v>117.11</v>
      </c>
      <c r="M189" s="15">
        <v>91947.9</v>
      </c>
      <c r="N189" s="15">
        <v>52348.17</v>
      </c>
      <c r="O189" s="16">
        <v>39599.729999999996</v>
      </c>
    </row>
    <row r="190" spans="2:15" ht="18.75" hidden="1" x14ac:dyDescent="0.25">
      <c r="B190" s="4" t="s">
        <v>60</v>
      </c>
      <c r="C190" s="5" t="s">
        <v>193</v>
      </c>
      <c r="D190" s="5" t="s">
        <v>88</v>
      </c>
      <c r="E190" s="5" t="s">
        <v>54</v>
      </c>
      <c r="F190" s="5" t="s">
        <v>70</v>
      </c>
      <c r="G190" s="14">
        <v>40400</v>
      </c>
      <c r="H190" s="5">
        <v>100167691</v>
      </c>
      <c r="I190" s="14">
        <v>40419</v>
      </c>
      <c r="J190" s="5">
        <v>701</v>
      </c>
      <c r="K190" s="15">
        <v>152.58000000000001</v>
      </c>
      <c r="L190" s="15">
        <v>97.44</v>
      </c>
      <c r="M190" s="15">
        <v>106958.58</v>
      </c>
      <c r="N190" s="15">
        <v>68305.440000000002</v>
      </c>
      <c r="O190" s="16">
        <v>38653.14</v>
      </c>
    </row>
    <row r="191" spans="2:15" ht="18.75" hidden="1" x14ac:dyDescent="0.25">
      <c r="B191" s="4" t="s">
        <v>81</v>
      </c>
      <c r="C191" s="5" t="s">
        <v>210</v>
      </c>
      <c r="D191" s="5" t="s">
        <v>93</v>
      </c>
      <c r="E191" s="5" t="s">
        <v>54</v>
      </c>
      <c r="F191" s="5" t="s">
        <v>59</v>
      </c>
      <c r="G191" s="14">
        <v>42675</v>
      </c>
      <c r="H191" s="5">
        <v>100168550</v>
      </c>
      <c r="I191" s="14">
        <v>42685</v>
      </c>
      <c r="J191" s="5">
        <v>955</v>
      </c>
      <c r="K191" s="15">
        <v>81.73</v>
      </c>
      <c r="L191" s="15">
        <v>56.67</v>
      </c>
      <c r="M191" s="15">
        <v>78052.150000000009</v>
      </c>
      <c r="N191" s="15">
        <v>54119.85</v>
      </c>
      <c r="O191" s="16">
        <v>23932.30000000001</v>
      </c>
    </row>
    <row r="192" spans="2:15" ht="18.75" hidden="1" x14ac:dyDescent="0.25">
      <c r="B192" s="4" t="s">
        <v>51</v>
      </c>
      <c r="C192" s="5" t="s">
        <v>195</v>
      </c>
      <c r="D192" s="5" t="s">
        <v>96</v>
      </c>
      <c r="E192" s="5" t="s">
        <v>54</v>
      </c>
      <c r="F192" s="5" t="s">
        <v>63</v>
      </c>
      <c r="G192" s="14">
        <v>40991</v>
      </c>
      <c r="H192" s="5">
        <v>100169408</v>
      </c>
      <c r="I192" s="14">
        <v>40992</v>
      </c>
      <c r="J192" s="5">
        <v>1209</v>
      </c>
      <c r="K192" s="15">
        <v>154.06</v>
      </c>
      <c r="L192" s="15">
        <v>90.93</v>
      </c>
      <c r="M192" s="15">
        <v>186258.54</v>
      </c>
      <c r="N192" s="15">
        <v>109934.37000000001</v>
      </c>
      <c r="O192" s="16">
        <v>76324.17</v>
      </c>
    </row>
    <row r="193" spans="2:15" ht="18.75" hidden="1" x14ac:dyDescent="0.25">
      <c r="B193" s="4" t="s">
        <v>81</v>
      </c>
      <c r="C193" s="5" t="s">
        <v>211</v>
      </c>
      <c r="D193" s="5" t="s">
        <v>68</v>
      </c>
      <c r="E193" s="5" t="s">
        <v>54</v>
      </c>
      <c r="F193" s="5" t="s">
        <v>63</v>
      </c>
      <c r="G193" s="14">
        <v>42128</v>
      </c>
      <c r="H193" s="5">
        <v>100169837</v>
      </c>
      <c r="I193" s="14">
        <v>42176</v>
      </c>
      <c r="J193" s="5">
        <v>1336</v>
      </c>
      <c r="K193" s="15">
        <v>109.28</v>
      </c>
      <c r="L193" s="15">
        <v>35.840000000000003</v>
      </c>
      <c r="M193" s="15">
        <v>145998.07999999999</v>
      </c>
      <c r="N193" s="15">
        <v>47882.240000000005</v>
      </c>
      <c r="O193" s="16">
        <v>98115.839999999982</v>
      </c>
    </row>
    <row r="194" spans="2:15" ht="18.75" hidden="1" x14ac:dyDescent="0.25">
      <c r="B194" s="4" t="s">
        <v>81</v>
      </c>
      <c r="C194" s="5" t="s">
        <v>212</v>
      </c>
      <c r="D194" s="5" t="s">
        <v>93</v>
      </c>
      <c r="E194" s="5" t="s">
        <v>54</v>
      </c>
      <c r="F194" s="5" t="s">
        <v>59</v>
      </c>
      <c r="G194" s="14">
        <v>43856</v>
      </c>
      <c r="H194" s="5">
        <v>100171983</v>
      </c>
      <c r="I194" s="14">
        <v>43882</v>
      </c>
      <c r="J194" s="5">
        <v>1971</v>
      </c>
      <c r="K194" s="15">
        <v>81.73</v>
      </c>
      <c r="L194" s="15">
        <v>56.67</v>
      </c>
      <c r="M194" s="15">
        <v>161089.83000000002</v>
      </c>
      <c r="N194" s="15">
        <v>111696.57</v>
      </c>
      <c r="O194" s="16">
        <v>49393.260000000009</v>
      </c>
    </row>
    <row r="195" spans="2:15" ht="18.75" hidden="1" x14ac:dyDescent="0.25">
      <c r="B195" s="4" t="s">
        <v>60</v>
      </c>
      <c r="C195" s="5" t="s">
        <v>213</v>
      </c>
      <c r="D195" s="5" t="s">
        <v>100</v>
      </c>
      <c r="E195" s="5" t="s">
        <v>54</v>
      </c>
      <c r="F195" s="5" t="s">
        <v>55</v>
      </c>
      <c r="G195" s="14">
        <v>40487</v>
      </c>
      <c r="H195" s="5">
        <v>100173699</v>
      </c>
      <c r="I195" s="14">
        <v>40496</v>
      </c>
      <c r="J195" s="5">
        <v>2479</v>
      </c>
      <c r="K195" s="15">
        <v>205.7</v>
      </c>
      <c r="L195" s="15">
        <v>117.11</v>
      </c>
      <c r="M195" s="15">
        <v>509930.3</v>
      </c>
      <c r="N195" s="15">
        <v>290315.69</v>
      </c>
      <c r="O195" s="16">
        <v>219614.61</v>
      </c>
    </row>
    <row r="196" spans="2:15" ht="18.75" hidden="1" x14ac:dyDescent="0.25">
      <c r="B196" s="4" t="s">
        <v>72</v>
      </c>
      <c r="C196" s="5" t="s">
        <v>214</v>
      </c>
      <c r="D196" s="5" t="s">
        <v>80</v>
      </c>
      <c r="E196" s="5" t="s">
        <v>54</v>
      </c>
      <c r="F196" s="5" t="s">
        <v>59</v>
      </c>
      <c r="G196" s="14">
        <v>41077</v>
      </c>
      <c r="H196" s="5">
        <v>100175416</v>
      </c>
      <c r="I196" s="14">
        <v>41119</v>
      </c>
      <c r="J196" s="5">
        <v>2987</v>
      </c>
      <c r="K196" s="15">
        <v>668.27</v>
      </c>
      <c r="L196" s="15">
        <v>502.54</v>
      </c>
      <c r="M196" s="15">
        <v>1996122.49</v>
      </c>
      <c r="N196" s="15">
        <v>1501086.98</v>
      </c>
      <c r="O196" s="16">
        <v>495035.51</v>
      </c>
    </row>
    <row r="197" spans="2:15" ht="18.75" hidden="1" x14ac:dyDescent="0.25">
      <c r="B197" s="4" t="s">
        <v>81</v>
      </c>
      <c r="C197" s="5" t="s">
        <v>158</v>
      </c>
      <c r="D197" s="5" t="s">
        <v>58</v>
      </c>
      <c r="E197" s="5" t="s">
        <v>54</v>
      </c>
      <c r="F197" s="5" t="s">
        <v>63</v>
      </c>
      <c r="G197" s="14">
        <v>42214</v>
      </c>
      <c r="H197" s="5">
        <v>100175845</v>
      </c>
      <c r="I197" s="14">
        <v>42252</v>
      </c>
      <c r="J197" s="5">
        <v>3114</v>
      </c>
      <c r="K197" s="15">
        <v>255.28</v>
      </c>
      <c r="L197" s="15">
        <v>159.41999999999999</v>
      </c>
      <c r="M197" s="15">
        <v>794941.92</v>
      </c>
      <c r="N197" s="15">
        <v>496433.87999999995</v>
      </c>
      <c r="O197" s="16">
        <v>298508.0400000001</v>
      </c>
    </row>
    <row r="198" spans="2:15" ht="18.75" hidden="1" x14ac:dyDescent="0.25">
      <c r="B198" s="4" t="s">
        <v>51</v>
      </c>
      <c r="C198" s="5" t="s">
        <v>215</v>
      </c>
      <c r="D198" s="5" t="s">
        <v>65</v>
      </c>
      <c r="E198" s="5" t="s">
        <v>54</v>
      </c>
      <c r="F198" s="5" t="s">
        <v>63</v>
      </c>
      <c r="G198" s="14">
        <v>43352</v>
      </c>
      <c r="H198" s="5">
        <v>100176274</v>
      </c>
      <c r="I198" s="14">
        <v>43385</v>
      </c>
      <c r="J198" s="5">
        <v>3241</v>
      </c>
      <c r="K198" s="15">
        <v>651.21</v>
      </c>
      <c r="L198" s="15">
        <v>524.96</v>
      </c>
      <c r="M198" s="15">
        <v>2110571.6100000003</v>
      </c>
      <c r="N198" s="15">
        <v>1701395.36</v>
      </c>
      <c r="O198" s="16">
        <v>409176.25000000023</v>
      </c>
    </row>
    <row r="199" spans="2:15" ht="18.75" hidden="1" x14ac:dyDescent="0.25">
      <c r="B199" s="4" t="s">
        <v>56</v>
      </c>
      <c r="C199" s="5" t="s">
        <v>159</v>
      </c>
      <c r="D199" s="5" t="s">
        <v>62</v>
      </c>
      <c r="E199" s="5" t="s">
        <v>54</v>
      </c>
      <c r="F199" s="5" t="s">
        <v>70</v>
      </c>
      <c r="G199" s="14">
        <v>41667</v>
      </c>
      <c r="H199" s="5">
        <v>100177133</v>
      </c>
      <c r="I199" s="14">
        <v>41692</v>
      </c>
      <c r="J199" s="5">
        <v>3495</v>
      </c>
      <c r="K199" s="15">
        <v>437.2</v>
      </c>
      <c r="L199" s="15">
        <v>263.33</v>
      </c>
      <c r="M199" s="15">
        <v>1528014</v>
      </c>
      <c r="N199" s="15">
        <v>920338.35</v>
      </c>
      <c r="O199" s="16">
        <v>607675.65</v>
      </c>
    </row>
    <row r="200" spans="2:15" ht="18.75" hidden="1" x14ac:dyDescent="0.25">
      <c r="B200" s="4" t="s">
        <v>51</v>
      </c>
      <c r="C200" s="5" t="s">
        <v>160</v>
      </c>
      <c r="D200" s="5" t="s">
        <v>76</v>
      </c>
      <c r="E200" s="5" t="s">
        <v>54</v>
      </c>
      <c r="F200" s="5" t="s">
        <v>70</v>
      </c>
      <c r="G200" s="14">
        <v>42805</v>
      </c>
      <c r="H200" s="5">
        <v>100177562</v>
      </c>
      <c r="I200" s="14">
        <v>42825</v>
      </c>
      <c r="J200" s="5">
        <v>3622</v>
      </c>
      <c r="K200" s="15">
        <v>421.89</v>
      </c>
      <c r="L200" s="15">
        <v>364.69</v>
      </c>
      <c r="M200" s="15">
        <v>1528085.5799999998</v>
      </c>
      <c r="N200" s="15">
        <v>1320907.18</v>
      </c>
      <c r="O200" s="16">
        <v>207178.39999999991</v>
      </c>
    </row>
    <row r="201" spans="2:15" ht="18.75" hidden="1" x14ac:dyDescent="0.25">
      <c r="B201" s="4" t="s">
        <v>60</v>
      </c>
      <c r="C201" s="5" t="s">
        <v>200</v>
      </c>
      <c r="D201" s="5" t="s">
        <v>53</v>
      </c>
      <c r="E201" s="5" t="s">
        <v>54</v>
      </c>
      <c r="F201" s="5" t="s">
        <v>59</v>
      </c>
      <c r="G201" s="14">
        <v>41120</v>
      </c>
      <c r="H201" s="5">
        <v>100178420</v>
      </c>
      <c r="I201" s="14">
        <v>41132</v>
      </c>
      <c r="J201" s="5">
        <v>3876</v>
      </c>
      <c r="K201" s="15">
        <v>9.33</v>
      </c>
      <c r="L201" s="15">
        <v>6.92</v>
      </c>
      <c r="M201" s="15">
        <v>36163.08</v>
      </c>
      <c r="N201" s="15">
        <v>26821.919999999998</v>
      </c>
      <c r="O201" s="16">
        <v>9341.1600000000035</v>
      </c>
    </row>
    <row r="202" spans="2:15" ht="18.75" hidden="1" x14ac:dyDescent="0.25">
      <c r="B202" s="4" t="s">
        <v>81</v>
      </c>
      <c r="C202" s="5" t="s">
        <v>216</v>
      </c>
      <c r="D202" s="5" t="s">
        <v>58</v>
      </c>
      <c r="E202" s="5" t="s">
        <v>54</v>
      </c>
      <c r="F202" s="5" t="s">
        <v>63</v>
      </c>
      <c r="G202" s="14">
        <v>43395</v>
      </c>
      <c r="H202" s="5">
        <v>100179278</v>
      </c>
      <c r="I202" s="14">
        <v>43398</v>
      </c>
      <c r="J202" s="5">
        <v>4130</v>
      </c>
      <c r="K202" s="15">
        <v>255.28</v>
      </c>
      <c r="L202" s="15">
        <v>159.41999999999999</v>
      </c>
      <c r="M202" s="15">
        <v>1054306.3999999999</v>
      </c>
      <c r="N202" s="15">
        <v>658404.6</v>
      </c>
      <c r="O202" s="16">
        <v>395901.79999999993</v>
      </c>
    </row>
    <row r="203" spans="2:15" ht="18.75" hidden="1" x14ac:dyDescent="0.25">
      <c r="B203" s="4" t="s">
        <v>60</v>
      </c>
      <c r="C203" s="5" t="s">
        <v>217</v>
      </c>
      <c r="D203" s="5" t="s">
        <v>65</v>
      </c>
      <c r="E203" s="5" t="s">
        <v>54</v>
      </c>
      <c r="F203" s="5" t="s">
        <v>55</v>
      </c>
      <c r="G203" s="14">
        <v>40573</v>
      </c>
      <c r="H203" s="5">
        <v>100179708</v>
      </c>
      <c r="I203" s="14">
        <v>40623</v>
      </c>
      <c r="J203" s="5">
        <v>4257</v>
      </c>
      <c r="K203" s="15">
        <v>651.21</v>
      </c>
      <c r="L203" s="15">
        <v>524.96</v>
      </c>
      <c r="M203" s="15">
        <v>2772200.97</v>
      </c>
      <c r="N203" s="15">
        <v>2234754.7200000002</v>
      </c>
      <c r="O203" s="16">
        <v>537446.25</v>
      </c>
    </row>
    <row r="204" spans="2:15" ht="18.75" hidden="1" x14ac:dyDescent="0.25">
      <c r="B204" s="4" t="s">
        <v>56</v>
      </c>
      <c r="C204" s="5" t="s">
        <v>218</v>
      </c>
      <c r="D204" s="5" t="s">
        <v>53</v>
      </c>
      <c r="E204" s="5" t="s">
        <v>54</v>
      </c>
      <c r="F204" s="5" t="s">
        <v>63</v>
      </c>
      <c r="G204" s="14">
        <v>42301</v>
      </c>
      <c r="H204" s="5">
        <v>100181853</v>
      </c>
      <c r="I204" s="14">
        <v>42329</v>
      </c>
      <c r="J204" s="5">
        <v>4891</v>
      </c>
      <c r="K204" s="15">
        <v>9.33</v>
      </c>
      <c r="L204" s="15">
        <v>6.92</v>
      </c>
      <c r="M204" s="15">
        <v>45633.03</v>
      </c>
      <c r="N204" s="15">
        <v>33845.72</v>
      </c>
      <c r="O204" s="16">
        <v>11787.309999999998</v>
      </c>
    </row>
    <row r="205" spans="2:15" ht="18.75" hidden="1" x14ac:dyDescent="0.25">
      <c r="B205" s="4" t="s">
        <v>60</v>
      </c>
      <c r="C205" s="5" t="s">
        <v>164</v>
      </c>
      <c r="D205" s="5" t="s">
        <v>65</v>
      </c>
      <c r="E205" s="5" t="s">
        <v>54</v>
      </c>
      <c r="F205" s="5" t="s">
        <v>55</v>
      </c>
      <c r="G205" s="14">
        <v>41754</v>
      </c>
      <c r="H205" s="5">
        <v>100183141</v>
      </c>
      <c r="I205" s="14">
        <v>41769</v>
      </c>
      <c r="J205" s="5">
        <v>5272</v>
      </c>
      <c r="K205" s="15">
        <v>651.21</v>
      </c>
      <c r="L205" s="15">
        <v>524.96</v>
      </c>
      <c r="M205" s="15">
        <v>3433179.12</v>
      </c>
      <c r="N205" s="15">
        <v>2767589.12</v>
      </c>
      <c r="O205" s="16">
        <v>665590</v>
      </c>
    </row>
    <row r="206" spans="2:15" ht="18.75" hidden="1" x14ac:dyDescent="0.25">
      <c r="B206" s="4" t="s">
        <v>51</v>
      </c>
      <c r="C206" s="5" t="s">
        <v>165</v>
      </c>
      <c r="D206" s="5" t="s">
        <v>68</v>
      </c>
      <c r="E206" s="5" t="s">
        <v>54</v>
      </c>
      <c r="F206" s="5" t="s">
        <v>70</v>
      </c>
      <c r="G206" s="14">
        <v>42891</v>
      </c>
      <c r="H206" s="5">
        <v>100183570</v>
      </c>
      <c r="I206" s="14">
        <v>42901</v>
      </c>
      <c r="J206" s="5">
        <v>5399</v>
      </c>
      <c r="K206" s="15">
        <v>109.28</v>
      </c>
      <c r="L206" s="15">
        <v>35.840000000000003</v>
      </c>
      <c r="M206" s="15">
        <v>590002.72</v>
      </c>
      <c r="N206" s="15">
        <v>193500.16000000003</v>
      </c>
      <c r="O206" s="16">
        <v>396502.55999999994</v>
      </c>
    </row>
    <row r="207" spans="2:15" ht="18.75" x14ac:dyDescent="0.25">
      <c r="B207" s="4" t="s">
        <v>81</v>
      </c>
      <c r="C207" s="5" t="s">
        <v>121</v>
      </c>
      <c r="D207" s="5" t="s">
        <v>62</v>
      </c>
      <c r="E207" s="5" t="s">
        <v>54</v>
      </c>
      <c r="F207" s="5" t="s">
        <v>70</v>
      </c>
      <c r="G207" s="14">
        <v>44028</v>
      </c>
      <c r="H207" s="5">
        <v>100183999</v>
      </c>
      <c r="I207" s="14">
        <v>44034</v>
      </c>
      <c r="J207" s="5">
        <v>5526</v>
      </c>
      <c r="K207" s="15">
        <v>437.2</v>
      </c>
      <c r="L207" s="15">
        <v>263.33</v>
      </c>
      <c r="M207" s="15">
        <v>2415967.1999999997</v>
      </c>
      <c r="N207" s="15">
        <v>1455161.5799999998</v>
      </c>
      <c r="O207" s="16">
        <v>960805.61999999988</v>
      </c>
    </row>
    <row r="208" spans="2:15" ht="18.75" hidden="1" x14ac:dyDescent="0.25">
      <c r="B208" s="4" t="s">
        <v>51</v>
      </c>
      <c r="C208" s="5" t="s">
        <v>219</v>
      </c>
      <c r="D208" s="5" t="s">
        <v>78</v>
      </c>
      <c r="E208" s="5" t="s">
        <v>54</v>
      </c>
      <c r="F208" s="5" t="s">
        <v>59</v>
      </c>
      <c r="G208" s="14">
        <v>42344</v>
      </c>
      <c r="H208" s="5">
        <v>100184857</v>
      </c>
      <c r="I208" s="14">
        <v>42392</v>
      </c>
      <c r="J208" s="5">
        <v>5780</v>
      </c>
      <c r="K208" s="15">
        <v>47.45</v>
      </c>
      <c r="L208" s="15">
        <v>31.79</v>
      </c>
      <c r="M208" s="15">
        <v>274261</v>
      </c>
      <c r="N208" s="15">
        <v>183746.19999999998</v>
      </c>
      <c r="O208" s="16">
        <v>90514.800000000017</v>
      </c>
    </row>
    <row r="209" spans="2:15" ht="18.75" hidden="1" x14ac:dyDescent="0.25">
      <c r="B209" s="4" t="s">
        <v>81</v>
      </c>
      <c r="C209" s="5" t="s">
        <v>103</v>
      </c>
      <c r="D209" s="5" t="s">
        <v>53</v>
      </c>
      <c r="E209" s="5" t="s">
        <v>54</v>
      </c>
      <c r="F209" s="5" t="s">
        <v>63</v>
      </c>
      <c r="G209" s="14">
        <v>43481</v>
      </c>
      <c r="H209" s="5">
        <v>100185286</v>
      </c>
      <c r="I209" s="14">
        <v>43525</v>
      </c>
      <c r="J209" s="5">
        <v>5907</v>
      </c>
      <c r="K209" s="15">
        <v>9.33</v>
      </c>
      <c r="L209" s="15">
        <v>6.92</v>
      </c>
      <c r="M209" s="15">
        <v>55112.31</v>
      </c>
      <c r="N209" s="15">
        <v>40876.44</v>
      </c>
      <c r="O209" s="16">
        <v>14235.869999999995</v>
      </c>
    </row>
    <row r="210" spans="2:15" ht="18.75" hidden="1" x14ac:dyDescent="0.25">
      <c r="B210" s="4" t="s">
        <v>74</v>
      </c>
      <c r="C210" s="5" t="s">
        <v>123</v>
      </c>
      <c r="D210" s="5" t="s">
        <v>80</v>
      </c>
      <c r="E210" s="5" t="s">
        <v>54</v>
      </c>
      <c r="F210" s="5" t="s">
        <v>63</v>
      </c>
      <c r="G210" s="14">
        <v>40659</v>
      </c>
      <c r="H210" s="5">
        <v>100185716</v>
      </c>
      <c r="I210" s="14">
        <v>40699</v>
      </c>
      <c r="J210" s="5">
        <v>6034</v>
      </c>
      <c r="K210" s="15">
        <v>668.27</v>
      </c>
      <c r="L210" s="15">
        <v>502.54</v>
      </c>
      <c r="M210" s="15">
        <v>4032341.1799999997</v>
      </c>
      <c r="N210" s="15">
        <v>3032326.3600000003</v>
      </c>
      <c r="O210" s="16">
        <v>1000014.8199999994</v>
      </c>
    </row>
    <row r="211" spans="2:15" ht="18.75" hidden="1" x14ac:dyDescent="0.25">
      <c r="B211" s="4" t="s">
        <v>56</v>
      </c>
      <c r="C211" s="5" t="s">
        <v>166</v>
      </c>
      <c r="D211" s="5" t="s">
        <v>65</v>
      </c>
      <c r="E211" s="5" t="s">
        <v>132</v>
      </c>
      <c r="F211" s="5" t="s">
        <v>55</v>
      </c>
      <c r="G211" s="14">
        <v>42934</v>
      </c>
      <c r="H211" s="5">
        <v>100186574</v>
      </c>
      <c r="I211" s="14">
        <v>42965</v>
      </c>
      <c r="J211" s="5">
        <v>6288</v>
      </c>
      <c r="K211" s="15">
        <v>651.21</v>
      </c>
      <c r="L211" s="15">
        <v>524.96</v>
      </c>
      <c r="M211" s="15">
        <v>4094808.4800000004</v>
      </c>
      <c r="N211" s="15">
        <v>3300948.4800000004</v>
      </c>
      <c r="O211" s="16">
        <v>793860</v>
      </c>
    </row>
    <row r="212" spans="2:15" ht="18.75" hidden="1" x14ac:dyDescent="0.25">
      <c r="B212" s="4" t="s">
        <v>66</v>
      </c>
      <c r="C212" s="5" t="s">
        <v>167</v>
      </c>
      <c r="D212" s="5" t="s">
        <v>62</v>
      </c>
      <c r="E212" s="5" t="s">
        <v>132</v>
      </c>
      <c r="F212" s="5" t="s">
        <v>59</v>
      </c>
      <c r="G212" s="14">
        <v>41250</v>
      </c>
      <c r="H212" s="5">
        <v>100187432</v>
      </c>
      <c r="I212" s="14">
        <v>41272</v>
      </c>
      <c r="J212" s="5">
        <v>6542</v>
      </c>
      <c r="K212" s="15">
        <v>437.2</v>
      </c>
      <c r="L212" s="15">
        <v>263.33</v>
      </c>
      <c r="M212" s="15">
        <v>2860162.4</v>
      </c>
      <c r="N212" s="15">
        <v>1722704.8599999999</v>
      </c>
      <c r="O212" s="16">
        <v>1137457.54</v>
      </c>
    </row>
    <row r="213" spans="2:15" ht="18.75" hidden="1" x14ac:dyDescent="0.25">
      <c r="B213" s="4" t="s">
        <v>60</v>
      </c>
      <c r="C213" s="5" t="s">
        <v>127</v>
      </c>
      <c r="D213" s="5" t="s">
        <v>80</v>
      </c>
      <c r="E213" s="5" t="s">
        <v>132</v>
      </c>
      <c r="F213" s="5" t="s">
        <v>55</v>
      </c>
      <c r="G213" s="14">
        <v>41840</v>
      </c>
      <c r="H213" s="5">
        <v>100189149</v>
      </c>
      <c r="I213" s="14">
        <v>41845</v>
      </c>
      <c r="J213" s="5">
        <v>7050</v>
      </c>
      <c r="K213" s="15">
        <v>668.27</v>
      </c>
      <c r="L213" s="15">
        <v>502.54</v>
      </c>
      <c r="M213" s="15">
        <v>4711303.5</v>
      </c>
      <c r="N213" s="15">
        <v>3542907</v>
      </c>
      <c r="O213" s="16">
        <v>1168396.5</v>
      </c>
    </row>
    <row r="214" spans="2:15" ht="18.75" hidden="1" x14ac:dyDescent="0.25">
      <c r="B214" s="4" t="s">
        <v>51</v>
      </c>
      <c r="C214" s="5" t="s">
        <v>170</v>
      </c>
      <c r="D214" s="5" t="s">
        <v>58</v>
      </c>
      <c r="E214" s="5" t="s">
        <v>132</v>
      </c>
      <c r="F214" s="5" t="s">
        <v>55</v>
      </c>
      <c r="G214" s="14">
        <v>42977</v>
      </c>
      <c r="H214" s="5">
        <v>100189578</v>
      </c>
      <c r="I214" s="14">
        <v>42977</v>
      </c>
      <c r="J214" s="5">
        <v>7177</v>
      </c>
      <c r="K214" s="15">
        <v>255.28</v>
      </c>
      <c r="L214" s="15">
        <v>159.41999999999999</v>
      </c>
      <c r="M214" s="15">
        <v>1832144.56</v>
      </c>
      <c r="N214" s="15">
        <v>1144157.3399999999</v>
      </c>
      <c r="O214" s="16">
        <v>687987.2200000002</v>
      </c>
    </row>
    <row r="215" spans="2:15" ht="18.75" hidden="1" x14ac:dyDescent="0.25">
      <c r="B215" s="4" t="s">
        <v>72</v>
      </c>
      <c r="C215" s="5" t="s">
        <v>131</v>
      </c>
      <c r="D215" s="5" t="s">
        <v>62</v>
      </c>
      <c r="E215" s="5" t="s">
        <v>132</v>
      </c>
      <c r="F215" s="5" t="s">
        <v>59</v>
      </c>
      <c r="G215" s="14">
        <v>42430</v>
      </c>
      <c r="H215" s="5">
        <v>100190865</v>
      </c>
      <c r="I215" s="14">
        <v>42468</v>
      </c>
      <c r="J215" s="5">
        <v>7558</v>
      </c>
      <c r="K215" s="15">
        <v>437.2</v>
      </c>
      <c r="L215" s="15">
        <v>263.33</v>
      </c>
      <c r="M215" s="15">
        <v>3304357.6</v>
      </c>
      <c r="N215" s="15">
        <v>1990248.14</v>
      </c>
      <c r="O215" s="16">
        <v>1314109.4600000002</v>
      </c>
    </row>
    <row r="216" spans="2:15" ht="18.75" hidden="1" x14ac:dyDescent="0.25">
      <c r="B216" s="4" t="s">
        <v>74</v>
      </c>
      <c r="C216" s="5" t="s">
        <v>220</v>
      </c>
      <c r="D216" s="5" t="s">
        <v>78</v>
      </c>
      <c r="E216" s="5" t="s">
        <v>132</v>
      </c>
      <c r="F216" s="5" t="s">
        <v>63</v>
      </c>
      <c r="G216" s="14">
        <v>40746</v>
      </c>
      <c r="H216" s="5">
        <v>100191724</v>
      </c>
      <c r="I216" s="14">
        <v>40776</v>
      </c>
      <c r="J216" s="5">
        <v>7812</v>
      </c>
      <c r="K216" s="15">
        <v>47.45</v>
      </c>
      <c r="L216" s="15">
        <v>31.79</v>
      </c>
      <c r="M216" s="15">
        <v>370679.4</v>
      </c>
      <c r="N216" s="15">
        <v>248343.47999999998</v>
      </c>
      <c r="O216" s="16">
        <v>122335.92000000004</v>
      </c>
    </row>
    <row r="217" spans="2:15" ht="18.75" hidden="1" x14ac:dyDescent="0.25">
      <c r="B217" s="4" t="s">
        <v>56</v>
      </c>
      <c r="C217" s="5" t="s">
        <v>112</v>
      </c>
      <c r="D217" s="5" t="s">
        <v>80</v>
      </c>
      <c r="E217" s="5" t="s">
        <v>132</v>
      </c>
      <c r="F217" s="5" t="s">
        <v>55</v>
      </c>
      <c r="G217" s="14">
        <v>43020</v>
      </c>
      <c r="H217" s="5">
        <v>100192582</v>
      </c>
      <c r="I217" s="14">
        <v>43041</v>
      </c>
      <c r="J217" s="5">
        <v>8066</v>
      </c>
      <c r="K217" s="15">
        <v>668.27</v>
      </c>
      <c r="L217" s="15">
        <v>502.54</v>
      </c>
      <c r="M217" s="15">
        <v>5390265.8200000003</v>
      </c>
      <c r="N217" s="15">
        <v>4053487.64</v>
      </c>
      <c r="O217" s="16">
        <v>1336778.1800000002</v>
      </c>
    </row>
    <row r="218" spans="2:15" ht="18.75" hidden="1" x14ac:dyDescent="0.25">
      <c r="B218" s="4" t="s">
        <v>81</v>
      </c>
      <c r="C218" s="5" t="s">
        <v>221</v>
      </c>
      <c r="D218" s="5" t="s">
        <v>65</v>
      </c>
      <c r="E218" s="5" t="s">
        <v>132</v>
      </c>
      <c r="F218" s="5" t="s">
        <v>70</v>
      </c>
      <c r="G218" s="14">
        <v>41336</v>
      </c>
      <c r="H218" s="5">
        <v>100193440</v>
      </c>
      <c r="I218" s="14">
        <v>41348</v>
      </c>
      <c r="J218" s="5">
        <v>8320</v>
      </c>
      <c r="K218" s="15">
        <v>651.21</v>
      </c>
      <c r="L218" s="15">
        <v>524.96</v>
      </c>
      <c r="M218" s="15">
        <v>5418067.2000000002</v>
      </c>
      <c r="N218" s="15">
        <v>4367667.2000000002</v>
      </c>
      <c r="O218" s="16">
        <v>1050400</v>
      </c>
    </row>
    <row r="219" spans="2:15" ht="18.75" hidden="1" x14ac:dyDescent="0.25">
      <c r="B219" s="4" t="s">
        <v>81</v>
      </c>
      <c r="C219" s="5" t="s">
        <v>138</v>
      </c>
      <c r="D219" s="5" t="s">
        <v>76</v>
      </c>
      <c r="E219" s="5" t="s">
        <v>132</v>
      </c>
      <c r="F219" s="5" t="s">
        <v>63</v>
      </c>
      <c r="G219" s="14">
        <v>40789</v>
      </c>
      <c r="H219" s="5">
        <v>100194728</v>
      </c>
      <c r="I219" s="14">
        <v>40839</v>
      </c>
      <c r="J219" s="5">
        <v>8701</v>
      </c>
      <c r="K219" s="15">
        <v>421.89</v>
      </c>
      <c r="L219" s="15">
        <v>364.69</v>
      </c>
      <c r="M219" s="15">
        <v>3670864.8899999997</v>
      </c>
      <c r="N219" s="15">
        <v>3173167.69</v>
      </c>
      <c r="O219" s="16">
        <v>497697.19999999972</v>
      </c>
    </row>
    <row r="220" spans="2:15" ht="18.75" hidden="1" x14ac:dyDescent="0.25">
      <c r="B220" s="4" t="s">
        <v>81</v>
      </c>
      <c r="C220" s="5" t="s">
        <v>222</v>
      </c>
      <c r="D220" s="5" t="s">
        <v>80</v>
      </c>
      <c r="E220" s="5" t="s">
        <v>132</v>
      </c>
      <c r="F220" s="5" t="s">
        <v>55</v>
      </c>
      <c r="G220" s="14">
        <v>40242</v>
      </c>
      <c r="H220" s="5">
        <v>100196015</v>
      </c>
      <c r="I220" s="14">
        <v>40279</v>
      </c>
      <c r="J220" s="5">
        <v>9082</v>
      </c>
      <c r="K220" s="15">
        <v>668.27</v>
      </c>
      <c r="L220" s="15">
        <v>502.54</v>
      </c>
      <c r="M220" s="15">
        <v>6069228.1399999997</v>
      </c>
      <c r="N220" s="15">
        <v>4564068.28</v>
      </c>
      <c r="O220" s="16">
        <v>1505159.8599999994</v>
      </c>
    </row>
    <row r="221" spans="2:15" ht="18.75" hidden="1" x14ac:dyDescent="0.25">
      <c r="B221" s="4" t="s">
        <v>72</v>
      </c>
      <c r="C221" s="5" t="s">
        <v>175</v>
      </c>
      <c r="D221" s="5" t="s">
        <v>65</v>
      </c>
      <c r="E221" s="5" t="s">
        <v>132</v>
      </c>
      <c r="F221" s="5" t="s">
        <v>59</v>
      </c>
      <c r="G221" s="14">
        <v>42517</v>
      </c>
      <c r="H221" s="5">
        <v>100196874</v>
      </c>
      <c r="I221" s="14">
        <v>42545</v>
      </c>
      <c r="J221" s="5">
        <v>9336</v>
      </c>
      <c r="K221" s="15">
        <v>651.21</v>
      </c>
      <c r="L221" s="15">
        <v>524.96</v>
      </c>
      <c r="M221" s="15">
        <v>6079696.5600000005</v>
      </c>
      <c r="N221" s="15">
        <v>4901026.5600000005</v>
      </c>
      <c r="O221" s="16">
        <v>1178670</v>
      </c>
    </row>
    <row r="222" spans="2:15" ht="18.75" hidden="1" x14ac:dyDescent="0.25">
      <c r="B222" s="4" t="s">
        <v>56</v>
      </c>
      <c r="C222" s="5" t="s">
        <v>57</v>
      </c>
      <c r="D222" s="5" t="s">
        <v>78</v>
      </c>
      <c r="E222" s="5" t="s">
        <v>132</v>
      </c>
      <c r="F222" s="5" t="s">
        <v>55</v>
      </c>
      <c r="G222" s="14">
        <v>43107</v>
      </c>
      <c r="H222" s="5">
        <v>100198590</v>
      </c>
      <c r="I222" s="14">
        <v>43118</v>
      </c>
      <c r="J222" s="5">
        <v>9844</v>
      </c>
      <c r="K222" s="15">
        <v>47.45</v>
      </c>
      <c r="L222" s="15">
        <v>31.79</v>
      </c>
      <c r="M222" s="15">
        <v>467097.80000000005</v>
      </c>
      <c r="N222" s="15">
        <v>312940.76</v>
      </c>
      <c r="O222" s="16">
        <v>154157.04000000004</v>
      </c>
    </row>
    <row r="223" spans="2:15" ht="18.75" hidden="1" x14ac:dyDescent="0.25">
      <c r="B223" s="4" t="s">
        <v>81</v>
      </c>
      <c r="C223" s="5" t="s">
        <v>176</v>
      </c>
      <c r="D223" s="5" t="s">
        <v>80</v>
      </c>
      <c r="E223" s="5" t="s">
        <v>132</v>
      </c>
      <c r="F223" s="5" t="s">
        <v>70</v>
      </c>
      <c r="G223" s="14">
        <v>41422</v>
      </c>
      <c r="H223" s="5">
        <v>100199449</v>
      </c>
      <c r="I223" s="14">
        <v>41424</v>
      </c>
      <c r="J223" s="5">
        <v>98</v>
      </c>
      <c r="K223" s="15">
        <v>668.27</v>
      </c>
      <c r="L223" s="15">
        <v>502.54</v>
      </c>
      <c r="M223" s="15">
        <v>65490.46</v>
      </c>
      <c r="N223" s="15">
        <v>49248.920000000006</v>
      </c>
      <c r="O223" s="16">
        <v>16241.539999999994</v>
      </c>
    </row>
    <row r="224" spans="2:15" ht="18.75" hidden="1" x14ac:dyDescent="0.25">
      <c r="B224" s="4" t="s">
        <v>60</v>
      </c>
      <c r="C224" s="5" t="s">
        <v>146</v>
      </c>
      <c r="D224" s="5" t="s">
        <v>100</v>
      </c>
      <c r="E224" s="5" t="s">
        <v>132</v>
      </c>
      <c r="F224" s="5" t="s">
        <v>70</v>
      </c>
      <c r="G224" s="14">
        <v>42560</v>
      </c>
      <c r="H224" s="5">
        <v>100199878</v>
      </c>
      <c r="I224" s="14">
        <v>42609</v>
      </c>
      <c r="J224" s="5">
        <v>225</v>
      </c>
      <c r="K224" s="15">
        <v>205.7</v>
      </c>
      <c r="L224" s="15">
        <v>117.11</v>
      </c>
      <c r="M224" s="15">
        <v>46282.5</v>
      </c>
      <c r="N224" s="15">
        <v>26349.75</v>
      </c>
      <c r="O224" s="16">
        <v>19932.75</v>
      </c>
    </row>
    <row r="225" spans="2:15" ht="18.75" hidden="1" x14ac:dyDescent="0.25">
      <c r="B225" s="4" t="s">
        <v>51</v>
      </c>
      <c r="C225" s="5" t="s">
        <v>177</v>
      </c>
      <c r="D225" s="5" t="s">
        <v>65</v>
      </c>
      <c r="E225" s="5" t="s">
        <v>132</v>
      </c>
      <c r="F225" s="5" t="s">
        <v>59</v>
      </c>
      <c r="G225" s="14">
        <v>43697</v>
      </c>
      <c r="H225" s="5">
        <v>100200307</v>
      </c>
      <c r="I225" s="14">
        <v>43741</v>
      </c>
      <c r="J225" s="5">
        <v>352</v>
      </c>
      <c r="K225" s="15">
        <v>651.21</v>
      </c>
      <c r="L225" s="15">
        <v>524.96</v>
      </c>
      <c r="M225" s="15">
        <v>229225.92</v>
      </c>
      <c r="N225" s="15">
        <v>184785.92000000001</v>
      </c>
      <c r="O225" s="16">
        <v>44440</v>
      </c>
    </row>
    <row r="226" spans="2:15" ht="18.75" hidden="1" x14ac:dyDescent="0.25">
      <c r="B226" s="4" t="s">
        <v>72</v>
      </c>
      <c r="C226" s="5" t="s">
        <v>223</v>
      </c>
      <c r="D226" s="5" t="s">
        <v>93</v>
      </c>
      <c r="E226" s="5" t="s">
        <v>132</v>
      </c>
      <c r="F226" s="5" t="s">
        <v>55</v>
      </c>
      <c r="G226" s="14">
        <v>43150</v>
      </c>
      <c r="H226" s="5">
        <v>100201594</v>
      </c>
      <c r="I226" s="14">
        <v>43181</v>
      </c>
      <c r="J226" s="5">
        <v>733</v>
      </c>
      <c r="K226" s="15">
        <v>81.73</v>
      </c>
      <c r="L226" s="15">
        <v>56.67</v>
      </c>
      <c r="M226" s="15">
        <v>59908.090000000004</v>
      </c>
      <c r="N226" s="15">
        <v>41539.11</v>
      </c>
      <c r="O226" s="16">
        <v>18368.980000000003</v>
      </c>
    </row>
    <row r="227" spans="2:15" ht="18.75" hidden="1" x14ac:dyDescent="0.25">
      <c r="B227" s="4" t="s">
        <v>51</v>
      </c>
      <c r="C227" s="5" t="s">
        <v>64</v>
      </c>
      <c r="D227" s="5" t="s">
        <v>96</v>
      </c>
      <c r="E227" s="5" t="s">
        <v>132</v>
      </c>
      <c r="F227" s="5" t="s">
        <v>70</v>
      </c>
      <c r="G227" s="14">
        <v>41466</v>
      </c>
      <c r="H227" s="5">
        <v>100202453</v>
      </c>
      <c r="I227" s="14">
        <v>41489</v>
      </c>
      <c r="J227" s="5">
        <v>987</v>
      </c>
      <c r="K227" s="15">
        <v>154.06</v>
      </c>
      <c r="L227" s="15">
        <v>90.93</v>
      </c>
      <c r="M227" s="15">
        <v>152057.22</v>
      </c>
      <c r="N227" s="15">
        <v>89747.91</v>
      </c>
      <c r="O227" s="16">
        <v>62309.31</v>
      </c>
    </row>
    <row r="228" spans="2:15" ht="18.75" hidden="1" x14ac:dyDescent="0.25">
      <c r="B228" s="4" t="s">
        <v>66</v>
      </c>
      <c r="C228" s="5" t="s">
        <v>67</v>
      </c>
      <c r="D228" s="5" t="s">
        <v>80</v>
      </c>
      <c r="E228" s="5" t="s">
        <v>132</v>
      </c>
      <c r="F228" s="5" t="s">
        <v>70</v>
      </c>
      <c r="G228" s="14">
        <v>42603</v>
      </c>
      <c r="H228" s="5">
        <v>100202882</v>
      </c>
      <c r="I228" s="14">
        <v>42621</v>
      </c>
      <c r="J228" s="5">
        <v>1114</v>
      </c>
      <c r="K228" s="15">
        <v>668.27</v>
      </c>
      <c r="L228" s="15">
        <v>502.54</v>
      </c>
      <c r="M228" s="15">
        <v>744452.78</v>
      </c>
      <c r="N228" s="15">
        <v>559829.56000000006</v>
      </c>
      <c r="O228" s="16">
        <v>184623.21999999997</v>
      </c>
    </row>
    <row r="229" spans="2:15" ht="18.75" hidden="1" x14ac:dyDescent="0.25">
      <c r="B229" s="4" t="s">
        <v>51</v>
      </c>
      <c r="C229" s="5" t="s">
        <v>208</v>
      </c>
      <c r="D229" s="5" t="s">
        <v>65</v>
      </c>
      <c r="E229" s="5" t="s">
        <v>132</v>
      </c>
      <c r="F229" s="5" t="s">
        <v>59</v>
      </c>
      <c r="G229" s="14">
        <v>40918</v>
      </c>
      <c r="H229" s="5">
        <v>100203740</v>
      </c>
      <c r="I229" s="14">
        <v>40928</v>
      </c>
      <c r="J229" s="5">
        <v>1368</v>
      </c>
      <c r="K229" s="15">
        <v>651.21</v>
      </c>
      <c r="L229" s="15">
        <v>524.96</v>
      </c>
      <c r="M229" s="15">
        <v>890855.28</v>
      </c>
      <c r="N229" s="15">
        <v>718145.28</v>
      </c>
      <c r="O229" s="16">
        <v>172710</v>
      </c>
    </row>
    <row r="230" spans="2:15" ht="18.75" hidden="1" x14ac:dyDescent="0.25">
      <c r="B230" s="4" t="s">
        <v>81</v>
      </c>
      <c r="C230" s="5" t="s">
        <v>179</v>
      </c>
      <c r="D230" s="5" t="s">
        <v>88</v>
      </c>
      <c r="E230" s="5" t="s">
        <v>132</v>
      </c>
      <c r="F230" s="5" t="s">
        <v>63</v>
      </c>
      <c r="G230" s="14">
        <v>42056</v>
      </c>
      <c r="H230" s="5">
        <v>100204169</v>
      </c>
      <c r="I230" s="14">
        <v>42061</v>
      </c>
      <c r="J230" s="5">
        <v>1495</v>
      </c>
      <c r="K230" s="15">
        <v>152.58000000000001</v>
      </c>
      <c r="L230" s="15">
        <v>97.44</v>
      </c>
      <c r="M230" s="15">
        <v>228107.1</v>
      </c>
      <c r="N230" s="15">
        <v>145672.79999999999</v>
      </c>
      <c r="O230" s="16">
        <v>82434.300000000017</v>
      </c>
    </row>
    <row r="231" spans="2:15" ht="18.75" hidden="1" x14ac:dyDescent="0.25">
      <c r="B231" s="4" t="s">
        <v>60</v>
      </c>
      <c r="C231" s="5" t="s">
        <v>71</v>
      </c>
      <c r="D231" s="5" t="s">
        <v>96</v>
      </c>
      <c r="E231" s="5" t="s">
        <v>132</v>
      </c>
      <c r="F231" s="5" t="s">
        <v>70</v>
      </c>
      <c r="G231" s="14">
        <v>42646</v>
      </c>
      <c r="H231" s="5">
        <v>100205886</v>
      </c>
      <c r="I231" s="14">
        <v>42685</v>
      </c>
      <c r="J231" s="5">
        <v>2003</v>
      </c>
      <c r="K231" s="15">
        <v>154.06</v>
      </c>
      <c r="L231" s="15">
        <v>90.93</v>
      </c>
      <c r="M231" s="15">
        <v>308582.18</v>
      </c>
      <c r="N231" s="15">
        <v>182132.79</v>
      </c>
      <c r="O231" s="16">
        <v>126449.38999999998</v>
      </c>
    </row>
    <row r="232" spans="2:15" ht="18.75" hidden="1" x14ac:dyDescent="0.25">
      <c r="B232" s="4" t="s">
        <v>81</v>
      </c>
      <c r="C232" s="5" t="s">
        <v>181</v>
      </c>
      <c r="D232" s="5" t="s">
        <v>100</v>
      </c>
      <c r="E232" s="5" t="s">
        <v>132</v>
      </c>
      <c r="F232" s="5" t="s">
        <v>59</v>
      </c>
      <c r="G232" s="14">
        <v>40962</v>
      </c>
      <c r="H232" s="5">
        <v>100206744</v>
      </c>
      <c r="I232" s="14">
        <v>40992</v>
      </c>
      <c r="J232" s="5">
        <v>2257</v>
      </c>
      <c r="K232" s="15">
        <v>205.7</v>
      </c>
      <c r="L232" s="15">
        <v>117.11</v>
      </c>
      <c r="M232" s="15">
        <v>464264.89999999997</v>
      </c>
      <c r="N232" s="15">
        <v>264317.27</v>
      </c>
      <c r="O232" s="16">
        <v>199947.62999999995</v>
      </c>
    </row>
    <row r="233" spans="2:15" ht="18.75" hidden="1" x14ac:dyDescent="0.25">
      <c r="B233" s="4" t="s">
        <v>56</v>
      </c>
      <c r="C233" s="5" t="s">
        <v>183</v>
      </c>
      <c r="D233" s="5" t="s">
        <v>62</v>
      </c>
      <c r="E233" s="5" t="s">
        <v>132</v>
      </c>
      <c r="F233" s="5" t="s">
        <v>55</v>
      </c>
      <c r="G233" s="14">
        <v>40415</v>
      </c>
      <c r="H233" s="5">
        <v>100208032</v>
      </c>
      <c r="I233" s="14">
        <v>40432</v>
      </c>
      <c r="J233" s="5">
        <v>2638</v>
      </c>
      <c r="K233" s="15">
        <v>437.2</v>
      </c>
      <c r="L233" s="15">
        <v>263.33</v>
      </c>
      <c r="M233" s="15">
        <v>1153333.5999999999</v>
      </c>
      <c r="N233" s="15">
        <v>694664.53999999992</v>
      </c>
      <c r="O233" s="16">
        <v>458669.05999999994</v>
      </c>
    </row>
    <row r="234" spans="2:15" ht="18.75" hidden="1" x14ac:dyDescent="0.25">
      <c r="B234" s="4" t="s">
        <v>81</v>
      </c>
      <c r="C234" s="5" t="s">
        <v>152</v>
      </c>
      <c r="D234" s="5" t="s">
        <v>78</v>
      </c>
      <c r="E234" s="5" t="s">
        <v>132</v>
      </c>
      <c r="F234" s="5" t="s">
        <v>70</v>
      </c>
      <c r="G234" s="14">
        <v>42689</v>
      </c>
      <c r="H234" s="5">
        <v>100208890</v>
      </c>
      <c r="I234" s="14">
        <v>42697</v>
      </c>
      <c r="J234" s="5">
        <v>2892</v>
      </c>
      <c r="K234" s="15">
        <v>47.45</v>
      </c>
      <c r="L234" s="15">
        <v>31.79</v>
      </c>
      <c r="M234" s="15">
        <v>137225.4</v>
      </c>
      <c r="N234" s="15">
        <v>91936.68</v>
      </c>
      <c r="O234" s="16">
        <v>45288.72</v>
      </c>
    </row>
    <row r="235" spans="2:15" ht="18.75" hidden="1" x14ac:dyDescent="0.25">
      <c r="B235" s="4" t="s">
        <v>60</v>
      </c>
      <c r="C235" s="5" t="s">
        <v>224</v>
      </c>
      <c r="D235" s="5" t="s">
        <v>65</v>
      </c>
      <c r="E235" s="5" t="s">
        <v>132</v>
      </c>
      <c r="F235" s="5" t="s">
        <v>63</v>
      </c>
      <c r="G235" s="14">
        <v>43279</v>
      </c>
      <c r="H235" s="5">
        <v>100210607</v>
      </c>
      <c r="I235" s="14">
        <v>43321</v>
      </c>
      <c r="J235" s="5">
        <v>3400</v>
      </c>
      <c r="K235" s="15">
        <v>651.21</v>
      </c>
      <c r="L235" s="15">
        <v>524.96</v>
      </c>
      <c r="M235" s="15">
        <v>2214114</v>
      </c>
      <c r="N235" s="15">
        <v>1784864.0000000002</v>
      </c>
      <c r="O235" s="16">
        <v>429249.99999999977</v>
      </c>
    </row>
    <row r="236" spans="2:15" ht="18.75" hidden="1" x14ac:dyDescent="0.25">
      <c r="B236" s="4" t="s">
        <v>81</v>
      </c>
      <c r="C236" s="5" t="s">
        <v>85</v>
      </c>
      <c r="D236" s="5" t="s">
        <v>62</v>
      </c>
      <c r="E236" s="5" t="s">
        <v>132</v>
      </c>
      <c r="F236" s="5" t="s">
        <v>55</v>
      </c>
      <c r="G236" s="14">
        <v>41595</v>
      </c>
      <c r="H236" s="5">
        <v>100211465</v>
      </c>
      <c r="I236" s="14">
        <v>41628</v>
      </c>
      <c r="J236" s="5">
        <v>3654</v>
      </c>
      <c r="K236" s="15">
        <v>437.2</v>
      </c>
      <c r="L236" s="15">
        <v>263.33</v>
      </c>
      <c r="M236" s="15">
        <v>1597528.8</v>
      </c>
      <c r="N236" s="15">
        <v>962207.82</v>
      </c>
      <c r="O236" s="16">
        <v>635320.9800000001</v>
      </c>
    </row>
    <row r="237" spans="2:15" ht="18.75" hidden="1" x14ac:dyDescent="0.25">
      <c r="B237" s="4" t="s">
        <v>74</v>
      </c>
      <c r="C237" s="5" t="s">
        <v>185</v>
      </c>
      <c r="D237" s="5" t="s">
        <v>93</v>
      </c>
      <c r="E237" s="5" t="s">
        <v>132</v>
      </c>
      <c r="F237" s="5" t="s">
        <v>70</v>
      </c>
      <c r="G237" s="14">
        <v>42732</v>
      </c>
      <c r="H237" s="5">
        <v>100211894</v>
      </c>
      <c r="I237" s="14">
        <v>42761</v>
      </c>
      <c r="J237" s="5">
        <v>3781</v>
      </c>
      <c r="K237" s="15">
        <v>81.73</v>
      </c>
      <c r="L237" s="15">
        <v>56.67</v>
      </c>
      <c r="M237" s="15">
        <v>309021.13</v>
      </c>
      <c r="N237" s="15">
        <v>214269.27000000002</v>
      </c>
      <c r="O237" s="16">
        <v>94751.859999999986</v>
      </c>
    </row>
    <row r="238" spans="2:15" ht="18.75" hidden="1" x14ac:dyDescent="0.25">
      <c r="B238" s="4" t="s">
        <v>72</v>
      </c>
      <c r="C238" s="5" t="s">
        <v>225</v>
      </c>
      <c r="D238" s="5" t="s">
        <v>78</v>
      </c>
      <c r="E238" s="5" t="s">
        <v>132</v>
      </c>
      <c r="F238" s="5" t="s">
        <v>70</v>
      </c>
      <c r="G238" s="14">
        <v>43870</v>
      </c>
      <c r="H238" s="5">
        <v>100212323</v>
      </c>
      <c r="I238" s="14">
        <v>43894</v>
      </c>
      <c r="J238" s="5">
        <v>3908</v>
      </c>
      <c r="K238" s="15">
        <v>47.45</v>
      </c>
      <c r="L238" s="15">
        <v>31.79</v>
      </c>
      <c r="M238" s="15">
        <v>185434.6</v>
      </c>
      <c r="N238" s="15">
        <v>124235.31999999999</v>
      </c>
      <c r="O238" s="16">
        <v>61199.280000000013</v>
      </c>
    </row>
    <row r="239" spans="2:15" ht="18.75" hidden="1" x14ac:dyDescent="0.25">
      <c r="B239" s="4" t="s">
        <v>51</v>
      </c>
      <c r="C239" s="5" t="s">
        <v>87</v>
      </c>
      <c r="D239" s="5" t="s">
        <v>80</v>
      </c>
      <c r="E239" s="5" t="s">
        <v>132</v>
      </c>
      <c r="F239" s="5" t="s">
        <v>59</v>
      </c>
      <c r="G239" s="14">
        <v>42185</v>
      </c>
      <c r="H239" s="5">
        <v>100213181</v>
      </c>
      <c r="I239" s="14">
        <v>42201</v>
      </c>
      <c r="J239" s="5">
        <v>4162</v>
      </c>
      <c r="K239" s="15">
        <v>668.27</v>
      </c>
      <c r="L239" s="15">
        <v>502.54</v>
      </c>
      <c r="M239" s="15">
        <v>2781339.7399999998</v>
      </c>
      <c r="N239" s="15">
        <v>2091571.48</v>
      </c>
      <c r="O239" s="16">
        <v>689768.25999999978</v>
      </c>
    </row>
    <row r="240" spans="2:15" ht="18.75" hidden="1" x14ac:dyDescent="0.25">
      <c r="B240" s="4" t="s">
        <v>51</v>
      </c>
      <c r="C240" s="5" t="s">
        <v>226</v>
      </c>
      <c r="D240" s="5" t="s">
        <v>88</v>
      </c>
      <c r="E240" s="5" t="s">
        <v>132</v>
      </c>
      <c r="F240" s="5" t="s">
        <v>55</v>
      </c>
      <c r="G240" s="14">
        <v>41638</v>
      </c>
      <c r="H240" s="5">
        <v>100214469</v>
      </c>
      <c r="I240" s="14">
        <v>41641</v>
      </c>
      <c r="J240" s="5">
        <v>4543</v>
      </c>
      <c r="K240" s="15">
        <v>152.58000000000001</v>
      </c>
      <c r="L240" s="15">
        <v>97.44</v>
      </c>
      <c r="M240" s="15">
        <v>693170.94000000006</v>
      </c>
      <c r="N240" s="15">
        <v>442669.92</v>
      </c>
      <c r="O240" s="16">
        <v>250501.02000000008</v>
      </c>
    </row>
    <row r="241" spans="2:15" ht="18.75" hidden="1" x14ac:dyDescent="0.25">
      <c r="B241" s="4" t="s">
        <v>60</v>
      </c>
      <c r="C241" s="5" t="s">
        <v>90</v>
      </c>
      <c r="D241" s="5" t="s">
        <v>93</v>
      </c>
      <c r="E241" s="5" t="s">
        <v>132</v>
      </c>
      <c r="F241" s="5" t="s">
        <v>70</v>
      </c>
      <c r="G241" s="14">
        <v>43913</v>
      </c>
      <c r="H241" s="5">
        <v>100215327</v>
      </c>
      <c r="I241" s="14">
        <v>43958</v>
      </c>
      <c r="J241" s="5">
        <v>4797</v>
      </c>
      <c r="K241" s="15">
        <v>81.73</v>
      </c>
      <c r="L241" s="15">
        <v>56.67</v>
      </c>
      <c r="M241" s="15">
        <v>392058.81</v>
      </c>
      <c r="N241" s="15">
        <v>271845.99</v>
      </c>
      <c r="O241" s="16">
        <v>120212.82</v>
      </c>
    </row>
    <row r="242" spans="2:15" ht="18.75" hidden="1" x14ac:dyDescent="0.25">
      <c r="B242" s="4" t="s">
        <v>56</v>
      </c>
      <c r="C242" s="5" t="s">
        <v>92</v>
      </c>
      <c r="D242" s="5" t="s">
        <v>76</v>
      </c>
      <c r="E242" s="5" t="s">
        <v>132</v>
      </c>
      <c r="F242" s="5" t="s">
        <v>55</v>
      </c>
      <c r="G242" s="14">
        <v>41681</v>
      </c>
      <c r="H242" s="5">
        <v>100217473</v>
      </c>
      <c r="I242" s="14">
        <v>41704</v>
      </c>
      <c r="J242" s="5">
        <v>5432</v>
      </c>
      <c r="K242" s="15">
        <v>421.89</v>
      </c>
      <c r="L242" s="15">
        <v>364.69</v>
      </c>
      <c r="M242" s="15">
        <v>2291706.48</v>
      </c>
      <c r="N242" s="15">
        <v>1980996.08</v>
      </c>
      <c r="O242" s="16">
        <v>310710.39999999991</v>
      </c>
    </row>
    <row r="243" spans="2:15" ht="18.75" hidden="1" x14ac:dyDescent="0.25">
      <c r="B243" s="4" t="s">
        <v>51</v>
      </c>
      <c r="C243" s="5" t="s">
        <v>215</v>
      </c>
      <c r="D243" s="5" t="s">
        <v>88</v>
      </c>
      <c r="E243" s="5" t="s">
        <v>132</v>
      </c>
      <c r="F243" s="5" t="s">
        <v>55</v>
      </c>
      <c r="G243" s="14">
        <v>42819</v>
      </c>
      <c r="H243" s="5">
        <v>100217902</v>
      </c>
      <c r="I243" s="14">
        <v>42838</v>
      </c>
      <c r="J243" s="5">
        <v>5559</v>
      </c>
      <c r="K243" s="15">
        <v>152.58000000000001</v>
      </c>
      <c r="L243" s="15">
        <v>97.44</v>
      </c>
      <c r="M243" s="15">
        <v>848192.22000000009</v>
      </c>
      <c r="N243" s="15">
        <v>541668.96</v>
      </c>
      <c r="O243" s="16">
        <v>306523.26000000013</v>
      </c>
    </row>
    <row r="244" spans="2:15" ht="18.75" hidden="1" x14ac:dyDescent="0.25">
      <c r="B244" s="4" t="s">
        <v>56</v>
      </c>
      <c r="C244" s="5" t="s">
        <v>97</v>
      </c>
      <c r="D244" s="5" t="s">
        <v>93</v>
      </c>
      <c r="E244" s="5" t="s">
        <v>132</v>
      </c>
      <c r="F244" s="5" t="s">
        <v>70</v>
      </c>
      <c r="G244" s="14">
        <v>41134</v>
      </c>
      <c r="H244" s="5">
        <v>100218760</v>
      </c>
      <c r="I244" s="14">
        <v>41144</v>
      </c>
      <c r="J244" s="5">
        <v>5813</v>
      </c>
      <c r="K244" s="15">
        <v>81.73</v>
      </c>
      <c r="L244" s="15">
        <v>56.67</v>
      </c>
      <c r="M244" s="15">
        <v>475096.49000000005</v>
      </c>
      <c r="N244" s="15">
        <v>329422.71000000002</v>
      </c>
      <c r="O244" s="16">
        <v>145673.78000000003</v>
      </c>
    </row>
    <row r="245" spans="2:15" ht="18.75" hidden="1" x14ac:dyDescent="0.25">
      <c r="B245" s="4" t="s">
        <v>51</v>
      </c>
      <c r="C245" s="5" t="s">
        <v>191</v>
      </c>
      <c r="D245" s="5" t="s">
        <v>100</v>
      </c>
      <c r="E245" s="5" t="s">
        <v>132</v>
      </c>
      <c r="F245" s="5" t="s">
        <v>63</v>
      </c>
      <c r="G245" s="14">
        <v>41725</v>
      </c>
      <c r="H245" s="5">
        <v>100220477</v>
      </c>
      <c r="I245" s="14">
        <v>41769</v>
      </c>
      <c r="J245" s="5">
        <v>6321</v>
      </c>
      <c r="K245" s="15">
        <v>205.7</v>
      </c>
      <c r="L245" s="15">
        <v>117.11</v>
      </c>
      <c r="M245" s="15">
        <v>1300229.7</v>
      </c>
      <c r="N245" s="15">
        <v>740252.30999999994</v>
      </c>
      <c r="O245" s="16">
        <v>559977.39</v>
      </c>
    </row>
    <row r="246" spans="2:15" ht="18.75" hidden="1" x14ac:dyDescent="0.25">
      <c r="B246" s="4" t="s">
        <v>81</v>
      </c>
      <c r="C246" s="5" t="s">
        <v>192</v>
      </c>
      <c r="D246" s="5" t="s">
        <v>76</v>
      </c>
      <c r="E246" s="5" t="s">
        <v>132</v>
      </c>
      <c r="F246" s="5" t="s">
        <v>55</v>
      </c>
      <c r="G246" s="14">
        <v>42862</v>
      </c>
      <c r="H246" s="5">
        <v>100220906</v>
      </c>
      <c r="I246" s="14">
        <v>42901</v>
      </c>
      <c r="J246" s="5">
        <v>6448</v>
      </c>
      <c r="K246" s="15">
        <v>421.89</v>
      </c>
      <c r="L246" s="15">
        <v>364.69</v>
      </c>
      <c r="M246" s="15">
        <v>2720346.7199999997</v>
      </c>
      <c r="N246" s="15">
        <v>2351521.12</v>
      </c>
      <c r="O246" s="16">
        <v>368825.59999999963</v>
      </c>
    </row>
    <row r="247" spans="2:15" ht="18.75" hidden="1" x14ac:dyDescent="0.25">
      <c r="B247" s="4" t="s">
        <v>60</v>
      </c>
      <c r="C247" s="5" t="s">
        <v>217</v>
      </c>
      <c r="D247" s="5" t="s">
        <v>88</v>
      </c>
      <c r="E247" s="5" t="s">
        <v>132</v>
      </c>
      <c r="F247" s="5" t="s">
        <v>70</v>
      </c>
      <c r="G247" s="14">
        <v>43999</v>
      </c>
      <c r="H247" s="5">
        <v>100221335</v>
      </c>
      <c r="I247" s="14">
        <v>44034</v>
      </c>
      <c r="J247" s="5">
        <v>6575</v>
      </c>
      <c r="K247" s="15">
        <v>152.58000000000001</v>
      </c>
      <c r="L247" s="15">
        <v>97.44</v>
      </c>
      <c r="M247" s="15">
        <v>1003213.5000000001</v>
      </c>
      <c r="N247" s="15">
        <v>640668</v>
      </c>
      <c r="O247" s="16">
        <v>362545.50000000012</v>
      </c>
    </row>
    <row r="248" spans="2:15" ht="18.75" hidden="1" x14ac:dyDescent="0.25">
      <c r="B248" s="4" t="s">
        <v>72</v>
      </c>
      <c r="C248" s="5" t="s">
        <v>101</v>
      </c>
      <c r="D248" s="5" t="s">
        <v>96</v>
      </c>
      <c r="E248" s="5" t="s">
        <v>132</v>
      </c>
      <c r="F248" s="5" t="s">
        <v>63</v>
      </c>
      <c r="G248" s="14">
        <v>40630</v>
      </c>
      <c r="H248" s="5">
        <v>100223052</v>
      </c>
      <c r="I248" s="14">
        <v>40647</v>
      </c>
      <c r="J248" s="5">
        <v>7083</v>
      </c>
      <c r="K248" s="15">
        <v>154.06</v>
      </c>
      <c r="L248" s="15">
        <v>90.93</v>
      </c>
      <c r="M248" s="15">
        <v>1091206.98</v>
      </c>
      <c r="N248" s="15">
        <v>644057.19000000006</v>
      </c>
      <c r="O248" s="16">
        <v>447149.78999999992</v>
      </c>
    </row>
    <row r="249" spans="2:15" ht="18.75" hidden="1" x14ac:dyDescent="0.25">
      <c r="B249" s="4" t="s">
        <v>51</v>
      </c>
      <c r="C249" s="5" t="s">
        <v>227</v>
      </c>
      <c r="D249" s="5" t="s">
        <v>100</v>
      </c>
      <c r="E249" s="5" t="s">
        <v>132</v>
      </c>
      <c r="F249" s="5" t="s">
        <v>55</v>
      </c>
      <c r="G249" s="14">
        <v>42905</v>
      </c>
      <c r="H249" s="5">
        <v>100223910</v>
      </c>
      <c r="I249" s="14">
        <v>42914</v>
      </c>
      <c r="J249" s="5">
        <v>7337</v>
      </c>
      <c r="K249" s="15">
        <v>205.7</v>
      </c>
      <c r="L249" s="15">
        <v>117.11</v>
      </c>
      <c r="M249" s="15">
        <v>1509220.9</v>
      </c>
      <c r="N249" s="15">
        <v>859236.07</v>
      </c>
      <c r="O249" s="16">
        <v>649984.82999999996</v>
      </c>
    </row>
    <row r="250" spans="2:15" ht="18.75" x14ac:dyDescent="0.25">
      <c r="B250" s="4" t="s">
        <v>81</v>
      </c>
      <c r="C250" s="5" t="s">
        <v>102</v>
      </c>
      <c r="D250" s="5" t="s">
        <v>76</v>
      </c>
      <c r="E250" s="5" t="s">
        <v>132</v>
      </c>
      <c r="F250" s="5" t="s">
        <v>55</v>
      </c>
      <c r="G250" s="14">
        <v>44042</v>
      </c>
      <c r="H250" s="5">
        <v>100224339</v>
      </c>
      <c r="I250" s="14">
        <v>44046</v>
      </c>
      <c r="J250" s="5">
        <v>7464</v>
      </c>
      <c r="K250" s="15">
        <v>421.89</v>
      </c>
      <c r="L250" s="15">
        <v>364.69</v>
      </c>
      <c r="M250" s="15">
        <v>3148986.96</v>
      </c>
      <c r="N250" s="15">
        <v>2722046.16</v>
      </c>
      <c r="O250" s="16">
        <v>426940.79999999981</v>
      </c>
    </row>
    <row r="251" spans="2:15" ht="18.75" hidden="1" x14ac:dyDescent="0.25">
      <c r="B251" s="4" t="s">
        <v>81</v>
      </c>
      <c r="C251" s="5" t="s">
        <v>194</v>
      </c>
      <c r="D251" s="5" t="s">
        <v>93</v>
      </c>
      <c r="E251" s="5" t="s">
        <v>132</v>
      </c>
      <c r="F251" s="5" t="s">
        <v>59</v>
      </c>
      <c r="G251" s="14">
        <v>43495</v>
      </c>
      <c r="H251" s="5">
        <v>100225627</v>
      </c>
      <c r="I251" s="14">
        <v>43537</v>
      </c>
      <c r="J251" s="5">
        <v>7845</v>
      </c>
      <c r="K251" s="15">
        <v>81.73</v>
      </c>
      <c r="L251" s="15">
        <v>56.67</v>
      </c>
      <c r="M251" s="15">
        <v>641171.85</v>
      </c>
      <c r="N251" s="15">
        <v>444576.15</v>
      </c>
      <c r="O251" s="16">
        <v>196595.69999999995</v>
      </c>
    </row>
    <row r="252" spans="2:15" ht="18.75" hidden="1" x14ac:dyDescent="0.25">
      <c r="B252" s="4" t="s">
        <v>51</v>
      </c>
      <c r="C252" s="5" t="s">
        <v>195</v>
      </c>
      <c r="D252" s="5" t="s">
        <v>96</v>
      </c>
      <c r="E252" s="5" t="s">
        <v>132</v>
      </c>
      <c r="F252" s="5" t="s">
        <v>63</v>
      </c>
      <c r="G252" s="14">
        <v>41811</v>
      </c>
      <c r="H252" s="5">
        <v>100226485</v>
      </c>
      <c r="I252" s="14">
        <v>41845</v>
      </c>
      <c r="J252" s="5">
        <v>8099</v>
      </c>
      <c r="K252" s="15">
        <v>154.06</v>
      </c>
      <c r="L252" s="15">
        <v>90.93</v>
      </c>
      <c r="M252" s="15">
        <v>1247731.94</v>
      </c>
      <c r="N252" s="15">
        <v>736442.07000000007</v>
      </c>
      <c r="O252" s="16">
        <v>511289.86999999988</v>
      </c>
    </row>
    <row r="253" spans="2:15" ht="18.75" hidden="1" x14ac:dyDescent="0.25">
      <c r="B253" s="4" t="s">
        <v>81</v>
      </c>
      <c r="C253" s="5" t="s">
        <v>103</v>
      </c>
      <c r="D253" s="5" t="s">
        <v>68</v>
      </c>
      <c r="E253" s="5" t="s">
        <v>132</v>
      </c>
      <c r="F253" s="5" t="s">
        <v>55</v>
      </c>
      <c r="G253" s="14">
        <v>42948</v>
      </c>
      <c r="H253" s="5">
        <v>100226914</v>
      </c>
      <c r="I253" s="14">
        <v>42977</v>
      </c>
      <c r="J253" s="5">
        <v>8226</v>
      </c>
      <c r="K253" s="15">
        <v>109.28</v>
      </c>
      <c r="L253" s="15">
        <v>35.840000000000003</v>
      </c>
      <c r="M253" s="15">
        <v>898937.28</v>
      </c>
      <c r="N253" s="15">
        <v>294819.84000000003</v>
      </c>
      <c r="O253" s="16">
        <v>604117.43999999994</v>
      </c>
    </row>
    <row r="254" spans="2:15" ht="18.75" hidden="1" x14ac:dyDescent="0.25">
      <c r="B254" s="4" t="s">
        <v>56</v>
      </c>
      <c r="C254" s="5" t="s">
        <v>105</v>
      </c>
      <c r="D254" s="5" t="s">
        <v>88</v>
      </c>
      <c r="E254" s="5" t="s">
        <v>132</v>
      </c>
      <c r="F254" s="5" t="s">
        <v>70</v>
      </c>
      <c r="G254" s="14">
        <v>42401</v>
      </c>
      <c r="H254" s="5">
        <v>100228202</v>
      </c>
      <c r="I254" s="14">
        <v>42417</v>
      </c>
      <c r="J254" s="5">
        <v>8607</v>
      </c>
      <c r="K254" s="15">
        <v>152.58000000000001</v>
      </c>
      <c r="L254" s="15">
        <v>97.44</v>
      </c>
      <c r="M254" s="15">
        <v>1313256.06</v>
      </c>
      <c r="N254" s="15">
        <v>838666.08</v>
      </c>
      <c r="O254" s="16">
        <v>474589.9800000001</v>
      </c>
    </row>
    <row r="255" spans="2:15" ht="18.75" hidden="1" x14ac:dyDescent="0.25">
      <c r="B255" s="4" t="s">
        <v>51</v>
      </c>
      <c r="C255" s="5" t="s">
        <v>107</v>
      </c>
      <c r="D255" s="5" t="s">
        <v>96</v>
      </c>
      <c r="E255" s="5" t="s">
        <v>132</v>
      </c>
      <c r="F255" s="5" t="s">
        <v>63</v>
      </c>
      <c r="G255" s="14">
        <v>42991</v>
      </c>
      <c r="H255" s="5">
        <v>100229918</v>
      </c>
      <c r="I255" s="14">
        <v>43041</v>
      </c>
      <c r="J255" s="5">
        <v>9115</v>
      </c>
      <c r="K255" s="15">
        <v>154.06</v>
      </c>
      <c r="L255" s="15">
        <v>90.93</v>
      </c>
      <c r="M255" s="15">
        <v>1404256.9</v>
      </c>
      <c r="N255" s="15">
        <v>828826.95000000007</v>
      </c>
      <c r="O255" s="16">
        <v>575429.94999999984</v>
      </c>
    </row>
    <row r="256" spans="2:15" ht="18.75" hidden="1" x14ac:dyDescent="0.25">
      <c r="B256" s="4" t="s">
        <v>60</v>
      </c>
      <c r="C256" s="5" t="s">
        <v>228</v>
      </c>
      <c r="D256" s="5" t="s">
        <v>100</v>
      </c>
      <c r="E256" s="5" t="s">
        <v>132</v>
      </c>
      <c r="F256" s="5" t="s">
        <v>70</v>
      </c>
      <c r="G256" s="14">
        <v>41307</v>
      </c>
      <c r="H256" s="5">
        <v>100230777</v>
      </c>
      <c r="I256" s="14">
        <v>41348</v>
      </c>
      <c r="J256" s="5">
        <v>9369</v>
      </c>
      <c r="K256" s="15">
        <v>205.7</v>
      </c>
      <c r="L256" s="15">
        <v>117.11</v>
      </c>
      <c r="M256" s="15">
        <v>1927203.2999999998</v>
      </c>
      <c r="N256" s="15">
        <v>1097203.5900000001</v>
      </c>
      <c r="O256" s="16">
        <v>829999.70999999973</v>
      </c>
    </row>
    <row r="257" spans="2:15" ht="18.75" hidden="1" x14ac:dyDescent="0.25">
      <c r="B257" s="4" t="s">
        <v>72</v>
      </c>
      <c r="C257" s="5" t="s">
        <v>109</v>
      </c>
      <c r="D257" s="5" t="s">
        <v>93</v>
      </c>
      <c r="E257" s="5" t="s">
        <v>132</v>
      </c>
      <c r="F257" s="5" t="s">
        <v>63</v>
      </c>
      <c r="G257" s="14">
        <v>41897</v>
      </c>
      <c r="H257" s="5">
        <v>100232493</v>
      </c>
      <c r="I257" s="14">
        <v>41921</v>
      </c>
      <c r="J257" s="5">
        <v>9877</v>
      </c>
      <c r="K257" s="15">
        <v>81.73</v>
      </c>
      <c r="L257" s="15">
        <v>56.67</v>
      </c>
      <c r="M257" s="15">
        <v>807247.21000000008</v>
      </c>
      <c r="N257" s="15">
        <v>559729.59</v>
      </c>
      <c r="O257" s="16">
        <v>247517.62000000011</v>
      </c>
    </row>
    <row r="258" spans="2:15" ht="18.75" hidden="1" x14ac:dyDescent="0.25">
      <c r="B258" s="4" t="s">
        <v>81</v>
      </c>
      <c r="C258" s="5" t="s">
        <v>110</v>
      </c>
      <c r="D258" s="5" t="s">
        <v>58</v>
      </c>
      <c r="E258" s="5" t="s">
        <v>132</v>
      </c>
      <c r="F258" s="5" t="s">
        <v>63</v>
      </c>
      <c r="G258" s="14">
        <v>43035</v>
      </c>
      <c r="H258" s="5">
        <v>100232923</v>
      </c>
      <c r="I258" s="14">
        <v>43054</v>
      </c>
      <c r="J258" s="5">
        <v>4</v>
      </c>
      <c r="K258" s="15">
        <v>255.28</v>
      </c>
      <c r="L258" s="15">
        <v>159.41999999999999</v>
      </c>
      <c r="M258" s="15">
        <v>1021.12</v>
      </c>
      <c r="N258" s="15">
        <v>637.67999999999995</v>
      </c>
      <c r="O258" s="16">
        <v>383.44000000000005</v>
      </c>
    </row>
    <row r="259" spans="2:15" ht="18.75" hidden="1" x14ac:dyDescent="0.25">
      <c r="B259" s="4" t="s">
        <v>51</v>
      </c>
      <c r="C259" s="5" t="s">
        <v>111</v>
      </c>
      <c r="D259" s="5" t="s">
        <v>96</v>
      </c>
      <c r="E259" s="5" t="s">
        <v>132</v>
      </c>
      <c r="F259" s="5" t="s">
        <v>55</v>
      </c>
      <c r="G259" s="14">
        <v>40213</v>
      </c>
      <c r="H259" s="5">
        <v>100233352</v>
      </c>
      <c r="I259" s="14">
        <v>40228</v>
      </c>
      <c r="J259" s="5">
        <v>131</v>
      </c>
      <c r="K259" s="15">
        <v>154.06</v>
      </c>
      <c r="L259" s="15">
        <v>90.93</v>
      </c>
      <c r="M259" s="15">
        <v>20181.86</v>
      </c>
      <c r="N259" s="15">
        <v>11911.830000000002</v>
      </c>
      <c r="O259" s="16">
        <v>8270.0299999999988</v>
      </c>
    </row>
    <row r="260" spans="2:15" ht="18.75" hidden="1" x14ac:dyDescent="0.25">
      <c r="B260" s="4" t="s">
        <v>51</v>
      </c>
      <c r="C260" s="5" t="s">
        <v>113</v>
      </c>
      <c r="D260" s="5" t="s">
        <v>76</v>
      </c>
      <c r="E260" s="5" t="s">
        <v>132</v>
      </c>
      <c r="F260" s="5" t="s">
        <v>70</v>
      </c>
      <c r="G260" s="14">
        <v>43625</v>
      </c>
      <c r="H260" s="5">
        <v>100234639</v>
      </c>
      <c r="I260" s="14">
        <v>43627</v>
      </c>
      <c r="J260" s="5">
        <v>512</v>
      </c>
      <c r="K260" s="15">
        <v>421.89</v>
      </c>
      <c r="L260" s="15">
        <v>364.69</v>
      </c>
      <c r="M260" s="15">
        <v>216007.67999999999</v>
      </c>
      <c r="N260" s="15">
        <v>186721.28</v>
      </c>
      <c r="O260" s="16">
        <v>29286.399999999994</v>
      </c>
    </row>
    <row r="261" spans="2:15" ht="18.75" hidden="1" x14ac:dyDescent="0.25">
      <c r="B261" s="4" t="s">
        <v>81</v>
      </c>
      <c r="C261" s="5" t="s">
        <v>199</v>
      </c>
      <c r="D261" s="5" t="s">
        <v>88</v>
      </c>
      <c r="E261" s="5" t="s">
        <v>132</v>
      </c>
      <c r="F261" s="5" t="s">
        <v>59</v>
      </c>
      <c r="G261" s="14">
        <v>40803</v>
      </c>
      <c r="H261" s="5">
        <v>100235068</v>
      </c>
      <c r="I261" s="14">
        <v>40851</v>
      </c>
      <c r="J261" s="5">
        <v>639</v>
      </c>
      <c r="K261" s="15">
        <v>152.58000000000001</v>
      </c>
      <c r="L261" s="15">
        <v>97.44</v>
      </c>
      <c r="M261" s="15">
        <v>97498.62000000001</v>
      </c>
      <c r="N261" s="15">
        <v>62264.159999999996</v>
      </c>
      <c r="O261" s="16">
        <v>35234.460000000014</v>
      </c>
    </row>
    <row r="262" spans="2:15" ht="18.75" hidden="1" x14ac:dyDescent="0.25">
      <c r="B262" s="4" t="s">
        <v>81</v>
      </c>
      <c r="C262" s="5" t="s">
        <v>115</v>
      </c>
      <c r="D262" s="5" t="s">
        <v>58</v>
      </c>
      <c r="E262" s="5" t="s">
        <v>132</v>
      </c>
      <c r="F262" s="5" t="s">
        <v>55</v>
      </c>
      <c r="G262" s="14">
        <v>40256</v>
      </c>
      <c r="H262" s="5">
        <v>100236356</v>
      </c>
      <c r="I262" s="14">
        <v>40291</v>
      </c>
      <c r="J262" s="5">
        <v>1020</v>
      </c>
      <c r="K262" s="15">
        <v>255.28</v>
      </c>
      <c r="L262" s="15">
        <v>159.41999999999999</v>
      </c>
      <c r="M262" s="15">
        <v>260385.6</v>
      </c>
      <c r="N262" s="15">
        <v>162608.4</v>
      </c>
      <c r="O262" s="16">
        <v>97777.200000000012</v>
      </c>
    </row>
    <row r="263" spans="2:15" ht="18.75" hidden="1" x14ac:dyDescent="0.25">
      <c r="B263" s="4" t="s">
        <v>51</v>
      </c>
      <c r="C263" s="5" t="s">
        <v>116</v>
      </c>
      <c r="D263" s="5" t="s">
        <v>68</v>
      </c>
      <c r="E263" s="5" t="s">
        <v>132</v>
      </c>
      <c r="F263" s="5" t="s">
        <v>70</v>
      </c>
      <c r="G263" s="14">
        <v>42531</v>
      </c>
      <c r="H263" s="5">
        <v>100237214</v>
      </c>
      <c r="I263" s="14">
        <v>42558</v>
      </c>
      <c r="J263" s="5">
        <v>1274</v>
      </c>
      <c r="K263" s="15">
        <v>109.28</v>
      </c>
      <c r="L263" s="15">
        <v>35.840000000000003</v>
      </c>
      <c r="M263" s="15">
        <v>139222.72</v>
      </c>
      <c r="N263" s="15">
        <v>45660.160000000003</v>
      </c>
      <c r="O263" s="16">
        <v>93562.559999999998</v>
      </c>
    </row>
    <row r="264" spans="2:15" ht="18.75" hidden="1" x14ac:dyDescent="0.25">
      <c r="B264" s="4" t="s">
        <v>72</v>
      </c>
      <c r="C264" s="5" t="s">
        <v>229</v>
      </c>
      <c r="D264" s="5" t="s">
        <v>78</v>
      </c>
      <c r="E264" s="5" t="s">
        <v>132</v>
      </c>
      <c r="F264" s="5" t="s">
        <v>59</v>
      </c>
      <c r="G264" s="14">
        <v>41984</v>
      </c>
      <c r="H264" s="5">
        <v>100238502</v>
      </c>
      <c r="I264" s="14">
        <v>41998</v>
      </c>
      <c r="J264" s="5">
        <v>1655</v>
      </c>
      <c r="K264" s="15">
        <v>47.45</v>
      </c>
      <c r="L264" s="15">
        <v>31.79</v>
      </c>
      <c r="M264" s="15">
        <v>78529.75</v>
      </c>
      <c r="N264" s="15">
        <v>52612.45</v>
      </c>
      <c r="O264" s="16">
        <v>25917.300000000003</v>
      </c>
    </row>
    <row r="265" spans="2:15" ht="18.75" hidden="1" x14ac:dyDescent="0.25">
      <c r="B265" s="4" t="s">
        <v>51</v>
      </c>
      <c r="C265" s="5" t="s">
        <v>230</v>
      </c>
      <c r="D265" s="5" t="s">
        <v>68</v>
      </c>
      <c r="E265" s="5" t="s">
        <v>132</v>
      </c>
      <c r="F265" s="5" t="s">
        <v>70</v>
      </c>
      <c r="G265" s="14">
        <v>43711</v>
      </c>
      <c r="H265" s="5">
        <v>100240647</v>
      </c>
      <c r="I265" s="14">
        <v>43754</v>
      </c>
      <c r="J265" s="5">
        <v>2290</v>
      </c>
      <c r="K265" s="15">
        <v>109.28</v>
      </c>
      <c r="L265" s="15">
        <v>35.840000000000003</v>
      </c>
      <c r="M265" s="15">
        <v>250251.2</v>
      </c>
      <c r="N265" s="15">
        <v>82073.600000000006</v>
      </c>
      <c r="O265" s="16">
        <v>168177.6</v>
      </c>
    </row>
    <row r="266" spans="2:15" ht="18.75" hidden="1" x14ac:dyDescent="0.25">
      <c r="B266" s="4" t="s">
        <v>81</v>
      </c>
      <c r="C266" s="5" t="s">
        <v>231</v>
      </c>
      <c r="D266" s="5" t="s">
        <v>53</v>
      </c>
      <c r="E266" s="5" t="s">
        <v>132</v>
      </c>
      <c r="F266" s="5" t="s">
        <v>63</v>
      </c>
      <c r="G266" s="14">
        <v>40342</v>
      </c>
      <c r="H266" s="5">
        <v>100242364</v>
      </c>
      <c r="I266" s="14">
        <v>40367</v>
      </c>
      <c r="J266" s="5">
        <v>2798</v>
      </c>
      <c r="K266" s="15">
        <v>9.33</v>
      </c>
      <c r="L266" s="15">
        <v>6.92</v>
      </c>
      <c r="M266" s="15">
        <v>26105.34</v>
      </c>
      <c r="N266" s="15">
        <v>19362.16</v>
      </c>
      <c r="O266" s="16">
        <v>6743.18</v>
      </c>
    </row>
    <row r="267" spans="2:15" ht="18.75" hidden="1" x14ac:dyDescent="0.25">
      <c r="B267" s="4" t="s">
        <v>51</v>
      </c>
      <c r="C267" s="5" t="s">
        <v>202</v>
      </c>
      <c r="D267" s="5" t="s">
        <v>68</v>
      </c>
      <c r="E267" s="5" t="s">
        <v>132</v>
      </c>
      <c r="F267" s="5" t="s">
        <v>70</v>
      </c>
      <c r="G267" s="14">
        <v>40933</v>
      </c>
      <c r="H267" s="5">
        <v>100244081</v>
      </c>
      <c r="I267" s="14">
        <v>40941</v>
      </c>
      <c r="J267" s="5">
        <v>3306</v>
      </c>
      <c r="K267" s="15">
        <v>109.28</v>
      </c>
      <c r="L267" s="15">
        <v>35.840000000000003</v>
      </c>
      <c r="M267" s="15">
        <v>361279.68</v>
      </c>
      <c r="N267" s="15">
        <v>118487.04000000001</v>
      </c>
      <c r="O267" s="16">
        <v>242792.63999999998</v>
      </c>
    </row>
    <row r="268" spans="2:15" ht="18.75" hidden="1" x14ac:dyDescent="0.25">
      <c r="B268" s="4" t="s">
        <v>56</v>
      </c>
      <c r="C268" s="5" t="s">
        <v>124</v>
      </c>
      <c r="D268" s="5" t="s">
        <v>76</v>
      </c>
      <c r="E268" s="5" t="s">
        <v>132</v>
      </c>
      <c r="F268" s="5" t="s">
        <v>59</v>
      </c>
      <c r="G268" s="14">
        <v>43207</v>
      </c>
      <c r="H268" s="5">
        <v>100244939</v>
      </c>
      <c r="I268" s="14">
        <v>43257</v>
      </c>
      <c r="J268" s="5">
        <v>3560</v>
      </c>
      <c r="K268" s="15">
        <v>421.89</v>
      </c>
      <c r="L268" s="15">
        <v>364.69</v>
      </c>
      <c r="M268" s="15">
        <v>1501928.4</v>
      </c>
      <c r="N268" s="15">
        <v>1298296.3999999999</v>
      </c>
      <c r="O268" s="16">
        <v>203632</v>
      </c>
    </row>
    <row r="269" spans="2:15" ht="18.75" hidden="1" x14ac:dyDescent="0.25">
      <c r="B269" s="4" t="s">
        <v>51</v>
      </c>
      <c r="C269" s="5" t="s">
        <v>128</v>
      </c>
      <c r="D269" s="5" t="s">
        <v>58</v>
      </c>
      <c r="E269" s="5" t="s">
        <v>132</v>
      </c>
      <c r="F269" s="5" t="s">
        <v>70</v>
      </c>
      <c r="G269" s="14">
        <v>43797</v>
      </c>
      <c r="H269" s="5">
        <v>100246655</v>
      </c>
      <c r="I269" s="14">
        <v>43830</v>
      </c>
      <c r="J269" s="5">
        <v>4068</v>
      </c>
      <c r="K269" s="15">
        <v>255.28</v>
      </c>
      <c r="L269" s="15">
        <v>159.41999999999999</v>
      </c>
      <c r="M269" s="15">
        <v>1038479.04</v>
      </c>
      <c r="N269" s="15">
        <v>648520.55999999994</v>
      </c>
      <c r="O269" s="16">
        <v>389958.4800000001</v>
      </c>
    </row>
    <row r="270" spans="2:15" ht="18.75" hidden="1" x14ac:dyDescent="0.25">
      <c r="B270" s="4" t="s">
        <v>60</v>
      </c>
      <c r="C270" s="5" t="s">
        <v>130</v>
      </c>
      <c r="D270" s="5" t="s">
        <v>68</v>
      </c>
      <c r="E270" s="5" t="s">
        <v>132</v>
      </c>
      <c r="F270" s="5" t="s">
        <v>59</v>
      </c>
      <c r="G270" s="14">
        <v>42113</v>
      </c>
      <c r="H270" s="5">
        <v>100247514</v>
      </c>
      <c r="I270" s="14">
        <v>42137</v>
      </c>
      <c r="J270" s="5">
        <v>4322</v>
      </c>
      <c r="K270" s="15">
        <v>109.28</v>
      </c>
      <c r="L270" s="15">
        <v>35.840000000000003</v>
      </c>
      <c r="M270" s="15">
        <v>472308.16000000003</v>
      </c>
      <c r="N270" s="15">
        <v>154900.48000000001</v>
      </c>
      <c r="O270" s="16">
        <v>317407.68000000005</v>
      </c>
    </row>
    <row r="271" spans="2:15" ht="18.75" hidden="1" x14ac:dyDescent="0.25">
      <c r="B271" s="4" t="s">
        <v>72</v>
      </c>
      <c r="C271" s="5" t="s">
        <v>134</v>
      </c>
      <c r="D271" s="5" t="s">
        <v>53</v>
      </c>
      <c r="E271" s="5" t="s">
        <v>132</v>
      </c>
      <c r="F271" s="5" t="s">
        <v>55</v>
      </c>
      <c r="G271" s="14">
        <v>42703</v>
      </c>
      <c r="H271" s="5">
        <v>100249230</v>
      </c>
      <c r="I271" s="14">
        <v>42710</v>
      </c>
      <c r="J271" s="5">
        <v>4830</v>
      </c>
      <c r="K271" s="15">
        <v>9.33</v>
      </c>
      <c r="L271" s="15">
        <v>6.92</v>
      </c>
      <c r="M271" s="15">
        <v>45063.9</v>
      </c>
      <c r="N271" s="15">
        <v>33423.599999999999</v>
      </c>
      <c r="O271" s="16">
        <v>11640.300000000003</v>
      </c>
    </row>
    <row r="272" spans="2:15" ht="18.75" x14ac:dyDescent="0.25">
      <c r="B272" s="4" t="s">
        <v>56</v>
      </c>
      <c r="C272" s="5" t="s">
        <v>135</v>
      </c>
      <c r="D272" s="5" t="s">
        <v>80</v>
      </c>
      <c r="E272" s="5" t="s">
        <v>132</v>
      </c>
      <c r="F272" s="5" t="s">
        <v>55</v>
      </c>
      <c r="G272" s="14">
        <v>43841</v>
      </c>
      <c r="H272" s="5">
        <v>100249660</v>
      </c>
      <c r="I272" s="14">
        <v>43843</v>
      </c>
      <c r="J272" s="5">
        <v>4957</v>
      </c>
      <c r="K272" s="15">
        <v>668.27</v>
      </c>
      <c r="L272" s="15">
        <v>502.54</v>
      </c>
      <c r="M272" s="15">
        <v>3312614.39</v>
      </c>
      <c r="N272" s="15">
        <v>2491090.7800000003</v>
      </c>
      <c r="O272" s="16">
        <v>821523.60999999987</v>
      </c>
    </row>
    <row r="273" spans="2:15" ht="18.75" hidden="1" x14ac:dyDescent="0.25">
      <c r="B273" s="4" t="s">
        <v>81</v>
      </c>
      <c r="C273" s="5" t="s">
        <v>82</v>
      </c>
      <c r="D273" s="5" t="s">
        <v>65</v>
      </c>
      <c r="E273" s="5" t="s">
        <v>132</v>
      </c>
      <c r="F273" s="5" t="s">
        <v>59</v>
      </c>
      <c r="G273" s="14">
        <v>42156</v>
      </c>
      <c r="H273" s="5">
        <v>100250518</v>
      </c>
      <c r="I273" s="14">
        <v>42200</v>
      </c>
      <c r="J273" s="5">
        <v>5211</v>
      </c>
      <c r="K273" s="15">
        <v>651.21</v>
      </c>
      <c r="L273" s="15">
        <v>524.96</v>
      </c>
      <c r="M273" s="15">
        <v>3393455.31</v>
      </c>
      <c r="N273" s="15">
        <v>2735566.56</v>
      </c>
      <c r="O273" s="16">
        <v>657888.75</v>
      </c>
    </row>
    <row r="274" spans="2:15" ht="18.75" hidden="1" x14ac:dyDescent="0.25">
      <c r="B274" s="4" t="s">
        <v>60</v>
      </c>
      <c r="C274" s="5" t="s">
        <v>232</v>
      </c>
      <c r="D274" s="5" t="s">
        <v>68</v>
      </c>
      <c r="E274" s="5" t="s">
        <v>132</v>
      </c>
      <c r="F274" s="5" t="s">
        <v>59</v>
      </c>
      <c r="G274" s="14">
        <v>43294</v>
      </c>
      <c r="H274" s="5">
        <v>100250947</v>
      </c>
      <c r="I274" s="14">
        <v>43334</v>
      </c>
      <c r="J274" s="5">
        <v>5338</v>
      </c>
      <c r="K274" s="15">
        <v>109.28</v>
      </c>
      <c r="L274" s="15">
        <v>35.840000000000003</v>
      </c>
      <c r="M274" s="15">
        <v>583336.64</v>
      </c>
      <c r="N274" s="15">
        <v>191313.92000000001</v>
      </c>
      <c r="O274" s="16">
        <v>392022.72</v>
      </c>
    </row>
    <row r="275" spans="2:15" ht="18.75" hidden="1" x14ac:dyDescent="0.25">
      <c r="B275" s="4" t="s">
        <v>51</v>
      </c>
      <c r="C275" s="5" t="s">
        <v>233</v>
      </c>
      <c r="D275" s="5" t="s">
        <v>53</v>
      </c>
      <c r="E275" s="5" t="s">
        <v>132</v>
      </c>
      <c r="F275" s="5" t="s">
        <v>55</v>
      </c>
      <c r="G275" s="14">
        <v>43884</v>
      </c>
      <c r="H275" s="5">
        <v>100252664</v>
      </c>
      <c r="I275" s="14">
        <v>43907</v>
      </c>
      <c r="J275" s="5">
        <v>5846</v>
      </c>
      <c r="K275" s="15">
        <v>9.33</v>
      </c>
      <c r="L275" s="15">
        <v>6.92</v>
      </c>
      <c r="M275" s="15">
        <v>54543.18</v>
      </c>
      <c r="N275" s="15">
        <v>40454.32</v>
      </c>
      <c r="O275" s="16">
        <v>14088.86</v>
      </c>
    </row>
    <row r="276" spans="2:15" ht="18.75" hidden="1" x14ac:dyDescent="0.25">
      <c r="B276" s="4" t="s">
        <v>81</v>
      </c>
      <c r="C276" s="5" t="s">
        <v>140</v>
      </c>
      <c r="D276" s="5" t="s">
        <v>80</v>
      </c>
      <c r="E276" s="5" t="s">
        <v>132</v>
      </c>
      <c r="F276" s="5" t="s">
        <v>70</v>
      </c>
      <c r="G276" s="14">
        <v>41062</v>
      </c>
      <c r="H276" s="5">
        <v>100253093</v>
      </c>
      <c r="I276" s="14">
        <v>41080</v>
      </c>
      <c r="J276" s="5">
        <v>5973</v>
      </c>
      <c r="K276" s="15">
        <v>668.27</v>
      </c>
      <c r="L276" s="15">
        <v>502.54</v>
      </c>
      <c r="M276" s="15">
        <v>3991576.71</v>
      </c>
      <c r="N276" s="15">
        <v>3001671.42</v>
      </c>
      <c r="O276" s="16">
        <v>989905.29</v>
      </c>
    </row>
    <row r="277" spans="2:15" ht="18.75" hidden="1" x14ac:dyDescent="0.25">
      <c r="B277" s="4" t="s">
        <v>74</v>
      </c>
      <c r="C277" s="5" t="s">
        <v>141</v>
      </c>
      <c r="D277" s="5" t="s">
        <v>58</v>
      </c>
      <c r="E277" s="5" t="s">
        <v>132</v>
      </c>
      <c r="F277" s="5" t="s">
        <v>70</v>
      </c>
      <c r="G277" s="14">
        <v>42199</v>
      </c>
      <c r="H277" s="5">
        <v>100253522</v>
      </c>
      <c r="I277" s="14">
        <v>42213</v>
      </c>
      <c r="J277" s="5">
        <v>6100</v>
      </c>
      <c r="K277" s="15">
        <v>255.28</v>
      </c>
      <c r="L277" s="15">
        <v>159.41999999999999</v>
      </c>
      <c r="M277" s="15">
        <v>1557208</v>
      </c>
      <c r="N277" s="15">
        <v>972461.99999999988</v>
      </c>
      <c r="O277" s="16">
        <v>584746.00000000012</v>
      </c>
    </row>
    <row r="278" spans="2:15" ht="18.75" hidden="1" x14ac:dyDescent="0.25">
      <c r="B278" s="4" t="s">
        <v>72</v>
      </c>
      <c r="C278" s="5" t="s">
        <v>186</v>
      </c>
      <c r="D278" s="5" t="s">
        <v>65</v>
      </c>
      <c r="E278" s="5" t="s">
        <v>54</v>
      </c>
      <c r="F278" s="5" t="s">
        <v>59</v>
      </c>
      <c r="G278" s="14">
        <v>43337</v>
      </c>
      <c r="H278" s="5">
        <v>100253951</v>
      </c>
      <c r="I278" s="14">
        <v>43347</v>
      </c>
      <c r="J278" s="5">
        <v>6227</v>
      </c>
      <c r="K278" s="15">
        <v>651.21</v>
      </c>
      <c r="L278" s="15">
        <v>524.96</v>
      </c>
      <c r="M278" s="15">
        <v>4055084.6700000004</v>
      </c>
      <c r="N278" s="15">
        <v>3268925.9200000004</v>
      </c>
      <c r="O278" s="16">
        <v>786158.75</v>
      </c>
    </row>
    <row r="279" spans="2:15" ht="18.75" hidden="1" x14ac:dyDescent="0.25">
      <c r="B279" s="4" t="s">
        <v>56</v>
      </c>
      <c r="C279" s="5" t="s">
        <v>203</v>
      </c>
      <c r="D279" s="5" t="s">
        <v>68</v>
      </c>
      <c r="E279" s="5" t="s">
        <v>54</v>
      </c>
      <c r="F279" s="5" t="s">
        <v>59</v>
      </c>
      <c r="G279" s="14">
        <v>40515</v>
      </c>
      <c r="H279" s="5">
        <v>100254380</v>
      </c>
      <c r="I279" s="14">
        <v>40520</v>
      </c>
      <c r="J279" s="5">
        <v>6354</v>
      </c>
      <c r="K279" s="15">
        <v>109.28</v>
      </c>
      <c r="L279" s="15">
        <v>35.840000000000003</v>
      </c>
      <c r="M279" s="15">
        <v>694365.12</v>
      </c>
      <c r="N279" s="15">
        <v>227727.36000000002</v>
      </c>
      <c r="O279" s="16">
        <v>466637.76</v>
      </c>
    </row>
    <row r="280" spans="2:15" ht="18.75" hidden="1" x14ac:dyDescent="0.25">
      <c r="B280" s="4" t="s">
        <v>51</v>
      </c>
      <c r="C280" s="5" t="s">
        <v>204</v>
      </c>
      <c r="D280" s="5" t="s">
        <v>62</v>
      </c>
      <c r="E280" s="5" t="s">
        <v>54</v>
      </c>
      <c r="F280" s="5" t="s">
        <v>63</v>
      </c>
      <c r="G280" s="14">
        <v>41652</v>
      </c>
      <c r="H280" s="5">
        <v>100254809</v>
      </c>
      <c r="I280" s="14">
        <v>41653</v>
      </c>
      <c r="J280" s="5">
        <v>6481</v>
      </c>
      <c r="K280" s="15">
        <v>437.2</v>
      </c>
      <c r="L280" s="15">
        <v>263.33</v>
      </c>
      <c r="M280" s="15">
        <v>2833493.1999999997</v>
      </c>
      <c r="N280" s="15">
        <v>1706641.73</v>
      </c>
      <c r="O280" s="16">
        <v>1126851.4699999997</v>
      </c>
    </row>
    <row r="281" spans="2:15" ht="18.75" hidden="1" x14ac:dyDescent="0.25">
      <c r="B281" s="4" t="s">
        <v>51</v>
      </c>
      <c r="C281" s="5" t="s">
        <v>144</v>
      </c>
      <c r="D281" s="5" t="s">
        <v>96</v>
      </c>
      <c r="E281" s="5" t="s">
        <v>54</v>
      </c>
      <c r="F281" s="5" t="s">
        <v>70</v>
      </c>
      <c r="G281" s="14">
        <v>41105</v>
      </c>
      <c r="H281" s="5">
        <v>100256097</v>
      </c>
      <c r="I281" s="14">
        <v>41144</v>
      </c>
      <c r="J281" s="5">
        <v>6862</v>
      </c>
      <c r="K281" s="15">
        <v>154.06</v>
      </c>
      <c r="L281" s="15">
        <v>90.93</v>
      </c>
      <c r="M281" s="15">
        <v>1057159.72</v>
      </c>
      <c r="N281" s="15">
        <v>623961.66</v>
      </c>
      <c r="O281" s="16">
        <v>433198.05999999994</v>
      </c>
    </row>
    <row r="282" spans="2:15" ht="18.75" hidden="1" x14ac:dyDescent="0.25">
      <c r="B282" s="4" t="s">
        <v>51</v>
      </c>
      <c r="C282" s="5" t="s">
        <v>205</v>
      </c>
      <c r="D282" s="5" t="s">
        <v>65</v>
      </c>
      <c r="E282" s="5" t="s">
        <v>54</v>
      </c>
      <c r="F282" s="5" t="s">
        <v>59</v>
      </c>
      <c r="G282" s="14">
        <v>40558</v>
      </c>
      <c r="H282" s="5">
        <v>100257384</v>
      </c>
      <c r="I282" s="14">
        <v>40584</v>
      </c>
      <c r="J282" s="5">
        <v>7243</v>
      </c>
      <c r="K282" s="15">
        <v>651.21</v>
      </c>
      <c r="L282" s="15">
        <v>524.96</v>
      </c>
      <c r="M282" s="15">
        <v>4716714.03</v>
      </c>
      <c r="N282" s="15">
        <v>3802285.2800000003</v>
      </c>
      <c r="O282" s="16">
        <v>914428.75</v>
      </c>
    </row>
    <row r="283" spans="2:15" ht="18.75" hidden="1" x14ac:dyDescent="0.25">
      <c r="B283" s="4" t="s">
        <v>72</v>
      </c>
      <c r="C283" s="5" t="s">
        <v>223</v>
      </c>
      <c r="D283" s="5" t="s">
        <v>93</v>
      </c>
      <c r="E283" s="5" t="s">
        <v>54</v>
      </c>
      <c r="F283" s="5" t="s">
        <v>55</v>
      </c>
      <c r="G283" s="14">
        <v>43970</v>
      </c>
      <c r="H283" s="5">
        <v>100258672</v>
      </c>
      <c r="I283" s="14">
        <v>43983</v>
      </c>
      <c r="J283" s="5">
        <v>7624</v>
      </c>
      <c r="K283" s="15">
        <v>81.73</v>
      </c>
      <c r="L283" s="15">
        <v>56.67</v>
      </c>
      <c r="M283" s="15">
        <v>623109.52</v>
      </c>
      <c r="N283" s="15">
        <v>432052.08</v>
      </c>
      <c r="O283" s="16">
        <v>191057.44</v>
      </c>
    </row>
    <row r="284" spans="2:15" ht="18.75" hidden="1" x14ac:dyDescent="0.25">
      <c r="B284" s="4" t="s">
        <v>56</v>
      </c>
      <c r="C284" s="5" t="s">
        <v>92</v>
      </c>
      <c r="D284" s="5" t="s">
        <v>78</v>
      </c>
      <c r="E284" s="5" t="s">
        <v>54</v>
      </c>
      <c r="F284" s="5" t="s">
        <v>55</v>
      </c>
      <c r="G284" s="14">
        <v>41148</v>
      </c>
      <c r="H284" s="5">
        <v>100259101</v>
      </c>
      <c r="I284" s="14">
        <v>41156</v>
      </c>
      <c r="J284" s="5">
        <v>7751</v>
      </c>
      <c r="K284" s="15">
        <v>47.45</v>
      </c>
      <c r="L284" s="15">
        <v>31.79</v>
      </c>
      <c r="M284" s="15">
        <v>367784.95</v>
      </c>
      <c r="N284" s="15">
        <v>246404.28999999998</v>
      </c>
      <c r="O284" s="16">
        <v>121380.66000000003</v>
      </c>
    </row>
    <row r="285" spans="2:15" ht="18.75" hidden="1" x14ac:dyDescent="0.25">
      <c r="B285" s="4" t="s">
        <v>51</v>
      </c>
      <c r="C285" s="5" t="s">
        <v>94</v>
      </c>
      <c r="D285" s="5" t="s">
        <v>96</v>
      </c>
      <c r="E285" s="5" t="s">
        <v>54</v>
      </c>
      <c r="F285" s="5" t="s">
        <v>70</v>
      </c>
      <c r="G285" s="14">
        <v>42286</v>
      </c>
      <c r="H285" s="5">
        <v>100259530</v>
      </c>
      <c r="I285" s="14">
        <v>42290</v>
      </c>
      <c r="J285" s="5">
        <v>7878</v>
      </c>
      <c r="K285" s="15">
        <v>154.06</v>
      </c>
      <c r="L285" s="15">
        <v>90.93</v>
      </c>
      <c r="M285" s="15">
        <v>1213684.68</v>
      </c>
      <c r="N285" s="15">
        <v>716346.54</v>
      </c>
      <c r="O285" s="16">
        <v>497338.1399999999</v>
      </c>
    </row>
    <row r="286" spans="2:15" ht="18.75" hidden="1" x14ac:dyDescent="0.25">
      <c r="B286" s="4" t="s">
        <v>66</v>
      </c>
      <c r="C286" s="5" t="s">
        <v>206</v>
      </c>
      <c r="D286" s="5" t="s">
        <v>80</v>
      </c>
      <c r="E286" s="5" t="s">
        <v>54</v>
      </c>
      <c r="F286" s="5" t="s">
        <v>70</v>
      </c>
      <c r="G286" s="14">
        <v>43423</v>
      </c>
      <c r="H286" s="5">
        <v>100259959</v>
      </c>
      <c r="I286" s="14">
        <v>43423</v>
      </c>
      <c r="J286" s="5">
        <v>8005</v>
      </c>
      <c r="K286" s="15">
        <v>668.27</v>
      </c>
      <c r="L286" s="15">
        <v>502.54</v>
      </c>
      <c r="M286" s="15">
        <v>5349501.3499999996</v>
      </c>
      <c r="N286" s="15">
        <v>4022832.7</v>
      </c>
      <c r="O286" s="16">
        <v>1326668.6499999994</v>
      </c>
    </row>
    <row r="287" spans="2:15" ht="18.75" hidden="1" x14ac:dyDescent="0.25">
      <c r="B287" s="4" t="s">
        <v>56</v>
      </c>
      <c r="C287" s="5" t="s">
        <v>207</v>
      </c>
      <c r="D287" s="5" t="s">
        <v>100</v>
      </c>
      <c r="E287" s="5" t="s">
        <v>54</v>
      </c>
      <c r="F287" s="5" t="s">
        <v>59</v>
      </c>
      <c r="G287" s="14">
        <v>40601</v>
      </c>
      <c r="H287" s="5">
        <v>100260388</v>
      </c>
      <c r="I287" s="14">
        <v>40647</v>
      </c>
      <c r="J287" s="5">
        <v>8132</v>
      </c>
      <c r="K287" s="15">
        <v>205.7</v>
      </c>
      <c r="L287" s="15">
        <v>117.11</v>
      </c>
      <c r="M287" s="15">
        <v>1672752.4</v>
      </c>
      <c r="N287" s="15">
        <v>952338.52</v>
      </c>
      <c r="O287" s="16">
        <v>720413.87999999989</v>
      </c>
    </row>
    <row r="288" spans="2:15" ht="18.75" hidden="1" x14ac:dyDescent="0.25">
      <c r="B288" s="4" t="s">
        <v>51</v>
      </c>
      <c r="C288" s="5" t="s">
        <v>189</v>
      </c>
      <c r="D288" s="5" t="s">
        <v>65</v>
      </c>
      <c r="E288" s="5" t="s">
        <v>54</v>
      </c>
      <c r="F288" s="5" t="s">
        <v>63</v>
      </c>
      <c r="G288" s="14">
        <v>41739</v>
      </c>
      <c r="H288" s="5">
        <v>100260818</v>
      </c>
      <c r="I288" s="14">
        <v>41781</v>
      </c>
      <c r="J288" s="5">
        <v>8259</v>
      </c>
      <c r="K288" s="15">
        <v>651.21</v>
      </c>
      <c r="L288" s="15">
        <v>524.96</v>
      </c>
      <c r="M288" s="15">
        <v>5378343.3900000006</v>
      </c>
      <c r="N288" s="15">
        <v>4335644.6400000006</v>
      </c>
      <c r="O288" s="16">
        <v>1042698.75</v>
      </c>
    </row>
    <row r="289" spans="2:15" ht="18.75" hidden="1" x14ac:dyDescent="0.25">
      <c r="B289" s="4" t="s">
        <v>51</v>
      </c>
      <c r="C289" s="5" t="s">
        <v>234</v>
      </c>
      <c r="D289" s="5" t="s">
        <v>93</v>
      </c>
      <c r="E289" s="5" t="s">
        <v>54</v>
      </c>
      <c r="F289" s="5" t="s">
        <v>55</v>
      </c>
      <c r="G289" s="14">
        <v>41192</v>
      </c>
      <c r="H289" s="5">
        <v>100262105</v>
      </c>
      <c r="I289" s="14">
        <v>41221</v>
      </c>
      <c r="J289" s="5">
        <v>8640</v>
      </c>
      <c r="K289" s="15">
        <v>81.73</v>
      </c>
      <c r="L289" s="15">
        <v>56.67</v>
      </c>
      <c r="M289" s="15">
        <v>706147.20000000007</v>
      </c>
      <c r="N289" s="15">
        <v>489628.8</v>
      </c>
      <c r="O289" s="16">
        <v>216518.40000000008</v>
      </c>
    </row>
    <row r="290" spans="2:15" ht="18.75" hidden="1" x14ac:dyDescent="0.25">
      <c r="B290" s="4" t="s">
        <v>72</v>
      </c>
      <c r="C290" s="5" t="s">
        <v>209</v>
      </c>
      <c r="D290" s="5" t="s">
        <v>80</v>
      </c>
      <c r="E290" s="5" t="s">
        <v>54</v>
      </c>
      <c r="F290" s="5" t="s">
        <v>59</v>
      </c>
      <c r="G290" s="14">
        <v>40645</v>
      </c>
      <c r="H290" s="5">
        <v>100263392</v>
      </c>
      <c r="I290" s="14">
        <v>40661</v>
      </c>
      <c r="J290" s="5">
        <v>9021</v>
      </c>
      <c r="K290" s="15">
        <v>668.27</v>
      </c>
      <c r="L290" s="15">
        <v>502.54</v>
      </c>
      <c r="M290" s="15">
        <v>6028463.6699999999</v>
      </c>
      <c r="N290" s="15">
        <v>4533413.34</v>
      </c>
      <c r="O290" s="16">
        <v>1495050.33</v>
      </c>
    </row>
    <row r="291" spans="2:15" ht="18.75" hidden="1" x14ac:dyDescent="0.25">
      <c r="B291" s="4" t="s">
        <v>81</v>
      </c>
      <c r="C291" s="5" t="s">
        <v>150</v>
      </c>
      <c r="D291" s="5" t="s">
        <v>100</v>
      </c>
      <c r="E291" s="5" t="s">
        <v>54</v>
      </c>
      <c r="F291" s="5" t="s">
        <v>59</v>
      </c>
      <c r="G291" s="14">
        <v>41782</v>
      </c>
      <c r="H291" s="5">
        <v>100263822</v>
      </c>
      <c r="I291" s="14">
        <v>41793</v>
      </c>
      <c r="J291" s="5">
        <v>9148</v>
      </c>
      <c r="K291" s="15">
        <v>205.7</v>
      </c>
      <c r="L291" s="15">
        <v>117.11</v>
      </c>
      <c r="M291" s="15">
        <v>1881743.5999999999</v>
      </c>
      <c r="N291" s="15">
        <v>1071322.28</v>
      </c>
      <c r="O291" s="16">
        <v>810421.31999999983</v>
      </c>
    </row>
    <row r="292" spans="2:15" ht="18.75" hidden="1" x14ac:dyDescent="0.25">
      <c r="B292" s="4" t="s">
        <v>74</v>
      </c>
      <c r="C292" s="5" t="s">
        <v>182</v>
      </c>
      <c r="D292" s="5" t="s">
        <v>65</v>
      </c>
      <c r="E292" s="5" t="s">
        <v>54</v>
      </c>
      <c r="F292" s="5" t="s">
        <v>63</v>
      </c>
      <c r="G292" s="14">
        <v>42919</v>
      </c>
      <c r="H292" s="5">
        <v>100264251</v>
      </c>
      <c r="I292" s="14">
        <v>42926</v>
      </c>
      <c r="J292" s="5">
        <v>9275</v>
      </c>
      <c r="K292" s="15">
        <v>651.21</v>
      </c>
      <c r="L292" s="15">
        <v>524.96</v>
      </c>
      <c r="M292" s="15">
        <v>6039972.75</v>
      </c>
      <c r="N292" s="15">
        <v>4869004</v>
      </c>
      <c r="O292" s="16">
        <v>1170968.75</v>
      </c>
    </row>
    <row r="293" spans="2:15" ht="18.75" hidden="1" x14ac:dyDescent="0.25">
      <c r="B293" s="4" t="s">
        <v>72</v>
      </c>
      <c r="C293" s="5" t="s">
        <v>101</v>
      </c>
      <c r="D293" s="5" t="s">
        <v>88</v>
      </c>
      <c r="E293" s="5" t="s">
        <v>54</v>
      </c>
      <c r="F293" s="5" t="s">
        <v>63</v>
      </c>
      <c r="G293" s="14">
        <v>44056</v>
      </c>
      <c r="H293" s="5">
        <v>100264680</v>
      </c>
      <c r="I293" s="14">
        <v>44059</v>
      </c>
      <c r="J293" s="5">
        <v>9402</v>
      </c>
      <c r="K293" s="15">
        <v>152.58000000000001</v>
      </c>
      <c r="L293" s="15">
        <v>97.44</v>
      </c>
      <c r="M293" s="15">
        <v>1434557.1600000001</v>
      </c>
      <c r="N293" s="15">
        <v>916130.88</v>
      </c>
      <c r="O293" s="16">
        <v>518426.28000000014</v>
      </c>
    </row>
    <row r="294" spans="2:15" ht="18.75" hidden="1" x14ac:dyDescent="0.25">
      <c r="B294" s="4" t="s">
        <v>56</v>
      </c>
      <c r="C294" s="5" t="s">
        <v>235</v>
      </c>
      <c r="D294" s="5" t="s">
        <v>62</v>
      </c>
      <c r="E294" s="5" t="s">
        <v>54</v>
      </c>
      <c r="F294" s="5" t="s">
        <v>55</v>
      </c>
      <c r="G294" s="14">
        <v>41235</v>
      </c>
      <c r="H294" s="5">
        <v>100265109</v>
      </c>
      <c r="I294" s="14">
        <v>41284</v>
      </c>
      <c r="J294" s="5">
        <v>9529</v>
      </c>
      <c r="K294" s="15">
        <v>437.2</v>
      </c>
      <c r="L294" s="15">
        <v>263.33</v>
      </c>
      <c r="M294" s="15">
        <v>4166078.8</v>
      </c>
      <c r="N294" s="15">
        <v>2509271.5699999998</v>
      </c>
      <c r="O294" s="16">
        <v>1656807.23</v>
      </c>
    </row>
    <row r="295" spans="2:15" ht="18.75" hidden="1" x14ac:dyDescent="0.25">
      <c r="B295" s="4" t="s">
        <v>51</v>
      </c>
      <c r="C295" s="5" t="s">
        <v>151</v>
      </c>
      <c r="D295" s="5" t="s">
        <v>93</v>
      </c>
      <c r="E295" s="5" t="s">
        <v>54</v>
      </c>
      <c r="F295" s="5" t="s">
        <v>70</v>
      </c>
      <c r="G295" s="14">
        <v>42372</v>
      </c>
      <c r="H295" s="5">
        <v>100265538</v>
      </c>
      <c r="I295" s="14">
        <v>42417</v>
      </c>
      <c r="J295" s="5">
        <v>9656</v>
      </c>
      <c r="K295" s="15">
        <v>81.73</v>
      </c>
      <c r="L295" s="15">
        <v>56.67</v>
      </c>
      <c r="M295" s="15">
        <v>789184.88</v>
      </c>
      <c r="N295" s="15">
        <v>547205.52</v>
      </c>
      <c r="O295" s="16">
        <v>241979.36</v>
      </c>
    </row>
    <row r="296" spans="2:15" ht="18.75" hidden="1" x14ac:dyDescent="0.25">
      <c r="B296" s="4" t="s">
        <v>60</v>
      </c>
      <c r="C296" s="5" t="s">
        <v>193</v>
      </c>
      <c r="D296" s="5" t="s">
        <v>96</v>
      </c>
      <c r="E296" s="5" t="s">
        <v>54</v>
      </c>
      <c r="F296" s="5" t="s">
        <v>59</v>
      </c>
      <c r="G296" s="14">
        <v>40688</v>
      </c>
      <c r="H296" s="5">
        <v>100266396</v>
      </c>
      <c r="I296" s="14">
        <v>40724</v>
      </c>
      <c r="J296" s="5">
        <v>9910</v>
      </c>
      <c r="K296" s="15">
        <v>154.06</v>
      </c>
      <c r="L296" s="15">
        <v>90.93</v>
      </c>
      <c r="M296" s="15">
        <v>1526734.6</v>
      </c>
      <c r="N296" s="15">
        <v>901116.3</v>
      </c>
      <c r="O296" s="16">
        <v>625618.30000000005</v>
      </c>
    </row>
    <row r="297" spans="2:15" ht="18.75" x14ac:dyDescent="0.25">
      <c r="B297" s="4" t="s">
        <v>60</v>
      </c>
      <c r="C297" s="5" t="s">
        <v>224</v>
      </c>
      <c r="D297" s="5" t="s">
        <v>65</v>
      </c>
      <c r="E297" s="5" t="s">
        <v>54</v>
      </c>
      <c r="F297" s="5" t="s">
        <v>63</v>
      </c>
      <c r="G297" s="14">
        <v>44100</v>
      </c>
      <c r="H297" s="5">
        <v>100267684</v>
      </c>
      <c r="I297" s="14">
        <v>44123</v>
      </c>
      <c r="J297" s="5">
        <v>291</v>
      </c>
      <c r="K297" s="15">
        <v>651.21</v>
      </c>
      <c r="L297" s="15">
        <v>524.96</v>
      </c>
      <c r="M297" s="15">
        <v>189502.11000000002</v>
      </c>
      <c r="N297" s="15">
        <v>152763.36000000002</v>
      </c>
      <c r="O297" s="16">
        <v>36738.75</v>
      </c>
    </row>
    <row r="298" spans="2:15" ht="18.75" hidden="1" x14ac:dyDescent="0.25">
      <c r="B298" s="4" t="s">
        <v>51</v>
      </c>
      <c r="C298" s="5" t="s">
        <v>195</v>
      </c>
      <c r="D298" s="5" t="s">
        <v>88</v>
      </c>
      <c r="E298" s="5" t="s">
        <v>54</v>
      </c>
      <c r="F298" s="5" t="s">
        <v>55</v>
      </c>
      <c r="G298" s="14">
        <v>41278</v>
      </c>
      <c r="H298" s="5">
        <v>100268113</v>
      </c>
      <c r="I298" s="14">
        <v>41297</v>
      </c>
      <c r="J298" s="5">
        <v>418</v>
      </c>
      <c r="K298" s="15">
        <v>152.58000000000001</v>
      </c>
      <c r="L298" s="15">
        <v>97.44</v>
      </c>
      <c r="M298" s="15">
        <v>63778.44</v>
      </c>
      <c r="N298" s="15">
        <v>40729.919999999998</v>
      </c>
      <c r="O298" s="16">
        <v>23048.520000000004</v>
      </c>
    </row>
    <row r="299" spans="2:15" ht="18.75" hidden="1" x14ac:dyDescent="0.25">
      <c r="B299" s="4" t="s">
        <v>81</v>
      </c>
      <c r="C299" s="5" t="s">
        <v>211</v>
      </c>
      <c r="D299" s="5" t="s">
        <v>62</v>
      </c>
      <c r="E299" s="5" t="s">
        <v>54</v>
      </c>
      <c r="F299" s="5" t="s">
        <v>55</v>
      </c>
      <c r="G299" s="14">
        <v>42415</v>
      </c>
      <c r="H299" s="5">
        <v>100268542</v>
      </c>
      <c r="I299" s="14">
        <v>42429</v>
      </c>
      <c r="J299" s="5">
        <v>545</v>
      </c>
      <c r="K299" s="15">
        <v>437.2</v>
      </c>
      <c r="L299" s="15">
        <v>263.33</v>
      </c>
      <c r="M299" s="15">
        <v>238274</v>
      </c>
      <c r="N299" s="15">
        <v>143514.85</v>
      </c>
      <c r="O299" s="16">
        <v>94759.15</v>
      </c>
    </row>
    <row r="300" spans="2:15" ht="18.75" hidden="1" x14ac:dyDescent="0.25">
      <c r="B300" s="4" t="s">
        <v>72</v>
      </c>
      <c r="C300" s="5" t="s">
        <v>225</v>
      </c>
      <c r="D300" s="5" t="s">
        <v>78</v>
      </c>
      <c r="E300" s="5" t="s">
        <v>54</v>
      </c>
      <c r="F300" s="5" t="s">
        <v>70</v>
      </c>
      <c r="G300" s="14">
        <v>40731</v>
      </c>
      <c r="H300" s="5">
        <v>100269401</v>
      </c>
      <c r="I300" s="14">
        <v>40737</v>
      </c>
      <c r="J300" s="5">
        <v>799</v>
      </c>
      <c r="K300" s="15">
        <v>47.45</v>
      </c>
      <c r="L300" s="15">
        <v>31.79</v>
      </c>
      <c r="M300" s="15">
        <v>37912.550000000003</v>
      </c>
      <c r="N300" s="15">
        <v>25400.21</v>
      </c>
      <c r="O300" s="16">
        <v>12512.340000000004</v>
      </c>
    </row>
    <row r="301" spans="2:15" ht="18.75" hidden="1" x14ac:dyDescent="0.25">
      <c r="B301" s="4" t="s">
        <v>56</v>
      </c>
      <c r="C301" s="5" t="s">
        <v>105</v>
      </c>
      <c r="D301" s="5" t="s">
        <v>96</v>
      </c>
      <c r="E301" s="5" t="s">
        <v>54</v>
      </c>
      <c r="F301" s="5" t="s">
        <v>59</v>
      </c>
      <c r="G301" s="14">
        <v>41868</v>
      </c>
      <c r="H301" s="5">
        <v>100269830</v>
      </c>
      <c r="I301" s="14">
        <v>41869</v>
      </c>
      <c r="J301" s="5">
        <v>926</v>
      </c>
      <c r="K301" s="15">
        <v>154.06</v>
      </c>
      <c r="L301" s="15">
        <v>90.93</v>
      </c>
      <c r="M301" s="15">
        <v>142659.56</v>
      </c>
      <c r="N301" s="15">
        <v>84201.180000000008</v>
      </c>
      <c r="O301" s="16">
        <v>58458.37999999999</v>
      </c>
    </row>
    <row r="302" spans="2:15" ht="18.75" hidden="1" x14ac:dyDescent="0.25">
      <c r="B302" s="4" t="s">
        <v>51</v>
      </c>
      <c r="C302" s="5" t="s">
        <v>236</v>
      </c>
      <c r="D302" s="5" t="s">
        <v>80</v>
      </c>
      <c r="E302" s="5" t="s">
        <v>54</v>
      </c>
      <c r="F302" s="5" t="s">
        <v>63</v>
      </c>
      <c r="G302" s="14">
        <v>43005</v>
      </c>
      <c r="H302" s="5">
        <v>100270259</v>
      </c>
      <c r="I302" s="14">
        <v>43053</v>
      </c>
      <c r="J302" s="5">
        <v>1053</v>
      </c>
      <c r="K302" s="15">
        <v>668.27</v>
      </c>
      <c r="L302" s="15">
        <v>502.54</v>
      </c>
      <c r="M302" s="15">
        <v>703688.30999999994</v>
      </c>
      <c r="N302" s="15">
        <v>529174.62</v>
      </c>
      <c r="O302" s="16">
        <v>174513.68999999994</v>
      </c>
    </row>
    <row r="303" spans="2:15" ht="18.75" hidden="1" x14ac:dyDescent="0.25">
      <c r="B303" s="4" t="s">
        <v>81</v>
      </c>
      <c r="C303" s="5" t="s">
        <v>157</v>
      </c>
      <c r="D303" s="5" t="s">
        <v>62</v>
      </c>
      <c r="E303" s="5" t="s">
        <v>54</v>
      </c>
      <c r="F303" s="5" t="s">
        <v>70</v>
      </c>
      <c r="G303" s="14">
        <v>43596</v>
      </c>
      <c r="H303" s="5">
        <v>100271975</v>
      </c>
      <c r="I303" s="14">
        <v>43627</v>
      </c>
      <c r="J303" s="5">
        <v>1561</v>
      </c>
      <c r="K303" s="15">
        <v>437.2</v>
      </c>
      <c r="L303" s="15">
        <v>263.33</v>
      </c>
      <c r="M303" s="15">
        <v>682469.2</v>
      </c>
      <c r="N303" s="15">
        <v>411058.12999999995</v>
      </c>
      <c r="O303" s="16">
        <v>271411.07</v>
      </c>
    </row>
    <row r="304" spans="2:15" ht="18.75" hidden="1" x14ac:dyDescent="0.25">
      <c r="B304" s="4" t="s">
        <v>81</v>
      </c>
      <c r="C304" s="5" t="s">
        <v>108</v>
      </c>
      <c r="D304" s="5" t="s">
        <v>96</v>
      </c>
      <c r="E304" s="5" t="s">
        <v>54</v>
      </c>
      <c r="F304" s="5" t="s">
        <v>59</v>
      </c>
      <c r="G304" s="14">
        <v>43049</v>
      </c>
      <c r="H304" s="5">
        <v>100273263</v>
      </c>
      <c r="I304" s="14">
        <v>43067</v>
      </c>
      <c r="J304" s="5">
        <v>1942</v>
      </c>
      <c r="K304" s="15">
        <v>154.06</v>
      </c>
      <c r="L304" s="15">
        <v>90.93</v>
      </c>
      <c r="M304" s="15">
        <v>299184.52</v>
      </c>
      <c r="N304" s="15">
        <v>176586.06000000003</v>
      </c>
      <c r="O304" s="16">
        <v>122598.45999999999</v>
      </c>
    </row>
    <row r="305" spans="2:15" ht="18.75" hidden="1" x14ac:dyDescent="0.25">
      <c r="B305" s="4" t="s">
        <v>51</v>
      </c>
      <c r="C305" s="5" t="s">
        <v>215</v>
      </c>
      <c r="D305" s="5" t="s">
        <v>88</v>
      </c>
      <c r="E305" s="5" t="s">
        <v>54</v>
      </c>
      <c r="F305" s="5" t="s">
        <v>70</v>
      </c>
      <c r="G305" s="14">
        <v>43639</v>
      </c>
      <c r="H305" s="5">
        <v>100274980</v>
      </c>
      <c r="I305" s="14">
        <v>43639</v>
      </c>
      <c r="J305" s="5">
        <v>2450</v>
      </c>
      <c r="K305" s="15">
        <v>152.58000000000001</v>
      </c>
      <c r="L305" s="15">
        <v>97.44</v>
      </c>
      <c r="M305" s="15">
        <v>373821.00000000006</v>
      </c>
      <c r="N305" s="15">
        <v>238728</v>
      </c>
      <c r="O305" s="16">
        <v>135093.00000000006</v>
      </c>
    </row>
    <row r="306" spans="2:15" ht="18.75" hidden="1" x14ac:dyDescent="0.25">
      <c r="B306" s="4" t="s">
        <v>51</v>
      </c>
      <c r="C306" s="5" t="s">
        <v>160</v>
      </c>
      <c r="D306" s="5" t="s">
        <v>58</v>
      </c>
      <c r="E306" s="5" t="s">
        <v>54</v>
      </c>
      <c r="F306" s="5" t="s">
        <v>59</v>
      </c>
      <c r="G306" s="14">
        <v>43092</v>
      </c>
      <c r="H306" s="5">
        <v>100276267</v>
      </c>
      <c r="I306" s="14">
        <v>43130</v>
      </c>
      <c r="J306" s="5">
        <v>2831</v>
      </c>
      <c r="K306" s="15">
        <v>255.28</v>
      </c>
      <c r="L306" s="15">
        <v>159.41999999999999</v>
      </c>
      <c r="M306" s="15">
        <v>722697.68</v>
      </c>
      <c r="N306" s="15">
        <v>451318.01999999996</v>
      </c>
      <c r="O306" s="16">
        <v>271379.66000000009</v>
      </c>
    </row>
    <row r="307" spans="2:15" ht="18.75" hidden="1" x14ac:dyDescent="0.25">
      <c r="B307" s="4" t="s">
        <v>81</v>
      </c>
      <c r="C307" s="5" t="s">
        <v>190</v>
      </c>
      <c r="D307" s="5" t="s">
        <v>96</v>
      </c>
      <c r="E307" s="5" t="s">
        <v>54</v>
      </c>
      <c r="F307" s="5" t="s">
        <v>63</v>
      </c>
      <c r="G307" s="14">
        <v>40270</v>
      </c>
      <c r="H307" s="5">
        <v>100276696</v>
      </c>
      <c r="I307" s="14">
        <v>40304</v>
      </c>
      <c r="J307" s="5">
        <v>2958</v>
      </c>
      <c r="K307" s="15">
        <v>154.06</v>
      </c>
      <c r="L307" s="15">
        <v>90.93</v>
      </c>
      <c r="M307" s="15">
        <v>455709.48</v>
      </c>
      <c r="N307" s="15">
        <v>268970.94</v>
      </c>
      <c r="O307" s="16">
        <v>186738.53999999998</v>
      </c>
    </row>
    <row r="308" spans="2:15" ht="18.75" hidden="1" x14ac:dyDescent="0.25">
      <c r="B308" s="4" t="s">
        <v>60</v>
      </c>
      <c r="C308" s="5" t="s">
        <v>200</v>
      </c>
      <c r="D308" s="5" t="s">
        <v>68</v>
      </c>
      <c r="E308" s="5" t="s">
        <v>54</v>
      </c>
      <c r="F308" s="5" t="s">
        <v>63</v>
      </c>
      <c r="G308" s="14">
        <v>41407</v>
      </c>
      <c r="H308" s="5">
        <v>100277125</v>
      </c>
      <c r="I308" s="14">
        <v>41436</v>
      </c>
      <c r="J308" s="5">
        <v>3085</v>
      </c>
      <c r="K308" s="15">
        <v>109.28</v>
      </c>
      <c r="L308" s="15">
        <v>35.840000000000003</v>
      </c>
      <c r="M308" s="15">
        <v>337128.8</v>
      </c>
      <c r="N308" s="15">
        <v>110566.40000000001</v>
      </c>
      <c r="O308" s="16">
        <v>226562.39999999997</v>
      </c>
    </row>
    <row r="309" spans="2:15" ht="18.75" hidden="1" x14ac:dyDescent="0.25">
      <c r="B309" s="4" t="s">
        <v>51</v>
      </c>
      <c r="C309" s="5" t="s">
        <v>161</v>
      </c>
      <c r="D309" s="5" t="s">
        <v>100</v>
      </c>
      <c r="E309" s="5" t="s">
        <v>54</v>
      </c>
      <c r="F309" s="5" t="s">
        <v>55</v>
      </c>
      <c r="G309" s="14">
        <v>42545</v>
      </c>
      <c r="H309" s="5">
        <v>100277554</v>
      </c>
      <c r="I309" s="14">
        <v>42570</v>
      </c>
      <c r="J309" s="5">
        <v>3212</v>
      </c>
      <c r="K309" s="15">
        <v>205.7</v>
      </c>
      <c r="L309" s="15">
        <v>117.11</v>
      </c>
      <c r="M309" s="15">
        <v>660708.39999999991</v>
      </c>
      <c r="N309" s="15">
        <v>376157.32</v>
      </c>
      <c r="O309" s="16">
        <v>284551.0799999999</v>
      </c>
    </row>
    <row r="310" spans="2:15" ht="18.75" hidden="1" x14ac:dyDescent="0.25">
      <c r="B310" s="4" t="s">
        <v>81</v>
      </c>
      <c r="C310" s="5" t="s">
        <v>117</v>
      </c>
      <c r="D310" s="5" t="s">
        <v>93</v>
      </c>
      <c r="E310" s="5" t="s">
        <v>54</v>
      </c>
      <c r="F310" s="5" t="s">
        <v>59</v>
      </c>
      <c r="G310" s="14">
        <v>43135</v>
      </c>
      <c r="H310" s="5">
        <v>100279271</v>
      </c>
      <c r="I310" s="14">
        <v>43143</v>
      </c>
      <c r="J310" s="5">
        <v>3720</v>
      </c>
      <c r="K310" s="15">
        <v>81.73</v>
      </c>
      <c r="L310" s="15">
        <v>56.67</v>
      </c>
      <c r="M310" s="15">
        <v>304035.60000000003</v>
      </c>
      <c r="N310" s="15">
        <v>210812.4</v>
      </c>
      <c r="O310" s="16">
        <v>93223.200000000041</v>
      </c>
    </row>
    <row r="311" spans="2:15" ht="18.75" hidden="1" x14ac:dyDescent="0.25">
      <c r="B311" s="4" t="s">
        <v>74</v>
      </c>
      <c r="C311" s="5" t="s">
        <v>162</v>
      </c>
      <c r="D311" s="5" t="s">
        <v>58</v>
      </c>
      <c r="E311" s="5" t="s">
        <v>54</v>
      </c>
      <c r="F311" s="5" t="s">
        <v>63</v>
      </c>
      <c r="G311" s="14">
        <v>40313</v>
      </c>
      <c r="H311" s="5">
        <v>100279700</v>
      </c>
      <c r="I311" s="14">
        <v>40316</v>
      </c>
      <c r="J311" s="5">
        <v>3847</v>
      </c>
      <c r="K311" s="15">
        <v>255.28</v>
      </c>
      <c r="L311" s="15">
        <v>159.41999999999999</v>
      </c>
      <c r="M311" s="15">
        <v>982062.16</v>
      </c>
      <c r="N311" s="15">
        <v>613288.74</v>
      </c>
      <c r="O311" s="16">
        <v>368773.42000000004</v>
      </c>
    </row>
    <row r="312" spans="2:15" ht="18.75" hidden="1" x14ac:dyDescent="0.25">
      <c r="B312" s="4" t="s">
        <v>51</v>
      </c>
      <c r="C312" s="5" t="s">
        <v>230</v>
      </c>
      <c r="D312" s="5" t="s">
        <v>53</v>
      </c>
      <c r="E312" s="5" t="s">
        <v>54</v>
      </c>
      <c r="F312" s="5" t="s">
        <v>59</v>
      </c>
      <c r="G312" s="14">
        <v>43178</v>
      </c>
      <c r="H312" s="5">
        <v>100282275</v>
      </c>
      <c r="I312" s="14">
        <v>43206</v>
      </c>
      <c r="J312" s="5">
        <v>4609</v>
      </c>
      <c r="K312" s="15">
        <v>9.33</v>
      </c>
      <c r="L312" s="15">
        <v>6.92</v>
      </c>
      <c r="M312" s="15">
        <v>43001.97</v>
      </c>
      <c r="N312" s="15">
        <v>31894.28</v>
      </c>
      <c r="O312" s="16">
        <v>11107.690000000002</v>
      </c>
    </row>
    <row r="313" spans="2:15" ht="18.75" hidden="1" x14ac:dyDescent="0.25">
      <c r="B313" s="4" t="s">
        <v>51</v>
      </c>
      <c r="C313" s="5" t="s">
        <v>219</v>
      </c>
      <c r="D313" s="5" t="s">
        <v>96</v>
      </c>
      <c r="E313" s="5" t="s">
        <v>54</v>
      </c>
      <c r="F313" s="5" t="s">
        <v>63</v>
      </c>
      <c r="G313" s="14">
        <v>42631</v>
      </c>
      <c r="H313" s="5">
        <v>100283563</v>
      </c>
      <c r="I313" s="14">
        <v>42646</v>
      </c>
      <c r="J313" s="5">
        <v>4990</v>
      </c>
      <c r="K313" s="15">
        <v>154.06</v>
      </c>
      <c r="L313" s="15">
        <v>90.93</v>
      </c>
      <c r="M313" s="15">
        <v>768759.4</v>
      </c>
      <c r="N313" s="15">
        <v>453740.7</v>
      </c>
      <c r="O313" s="16">
        <v>315018.7</v>
      </c>
    </row>
    <row r="314" spans="2:15" ht="18.75" hidden="1" x14ac:dyDescent="0.25">
      <c r="B314" s="4" t="s">
        <v>81</v>
      </c>
      <c r="C314" s="5" t="s">
        <v>103</v>
      </c>
      <c r="D314" s="5" t="s">
        <v>68</v>
      </c>
      <c r="E314" s="5" t="s">
        <v>54</v>
      </c>
      <c r="F314" s="5" t="s">
        <v>55</v>
      </c>
      <c r="G314" s="14">
        <v>43768</v>
      </c>
      <c r="H314" s="5">
        <v>100283992</v>
      </c>
      <c r="I314" s="14">
        <v>43779</v>
      </c>
      <c r="J314" s="5">
        <v>5117</v>
      </c>
      <c r="K314" s="15">
        <v>109.28</v>
      </c>
      <c r="L314" s="15">
        <v>35.840000000000003</v>
      </c>
      <c r="M314" s="15">
        <v>559185.76</v>
      </c>
      <c r="N314" s="15">
        <v>183393.28000000003</v>
      </c>
      <c r="O314" s="16">
        <v>375792.48</v>
      </c>
    </row>
    <row r="315" spans="2:15" ht="18.75" hidden="1" x14ac:dyDescent="0.25">
      <c r="B315" s="4" t="s">
        <v>74</v>
      </c>
      <c r="C315" s="5" t="s">
        <v>123</v>
      </c>
      <c r="D315" s="5" t="s">
        <v>100</v>
      </c>
      <c r="E315" s="5" t="s">
        <v>54</v>
      </c>
      <c r="F315" s="5" t="s">
        <v>55</v>
      </c>
      <c r="G315" s="14">
        <v>40947</v>
      </c>
      <c r="H315" s="5">
        <v>100284421</v>
      </c>
      <c r="I315" s="14">
        <v>40953</v>
      </c>
      <c r="J315" s="5">
        <v>5244</v>
      </c>
      <c r="K315" s="15">
        <v>205.7</v>
      </c>
      <c r="L315" s="15">
        <v>117.11</v>
      </c>
      <c r="M315" s="15">
        <v>1078690.8</v>
      </c>
      <c r="N315" s="15">
        <v>614124.84</v>
      </c>
      <c r="O315" s="16">
        <v>464565.96000000008</v>
      </c>
    </row>
    <row r="316" spans="2:15" ht="18.75" hidden="1" x14ac:dyDescent="0.25">
      <c r="B316" s="4" t="s">
        <v>72</v>
      </c>
      <c r="C316" s="5" t="s">
        <v>237</v>
      </c>
      <c r="D316" s="5" t="s">
        <v>76</v>
      </c>
      <c r="E316" s="5" t="s">
        <v>54</v>
      </c>
      <c r="F316" s="5" t="s">
        <v>70</v>
      </c>
      <c r="G316" s="14">
        <v>42084</v>
      </c>
      <c r="H316" s="5">
        <v>100284850</v>
      </c>
      <c r="I316" s="14">
        <v>42086</v>
      </c>
      <c r="J316" s="5">
        <v>5371</v>
      </c>
      <c r="K316" s="15">
        <v>421.89</v>
      </c>
      <c r="L316" s="15">
        <v>364.69</v>
      </c>
      <c r="M316" s="15">
        <v>2265971.19</v>
      </c>
      <c r="N316" s="15">
        <v>1958749.99</v>
      </c>
      <c r="O316" s="16">
        <v>307221.19999999995</v>
      </c>
    </row>
    <row r="317" spans="2:15" ht="18.75" hidden="1" x14ac:dyDescent="0.25">
      <c r="B317" s="4" t="s">
        <v>56</v>
      </c>
      <c r="C317" s="5" t="s">
        <v>166</v>
      </c>
      <c r="D317" s="5" t="s">
        <v>88</v>
      </c>
      <c r="E317" s="5" t="s">
        <v>54</v>
      </c>
      <c r="F317" s="5" t="s">
        <v>59</v>
      </c>
      <c r="G317" s="14">
        <v>43221</v>
      </c>
      <c r="H317" s="5">
        <v>100285279</v>
      </c>
      <c r="I317" s="14">
        <v>43270</v>
      </c>
      <c r="J317" s="5">
        <v>5498</v>
      </c>
      <c r="K317" s="15">
        <v>152.58000000000001</v>
      </c>
      <c r="L317" s="15">
        <v>97.44</v>
      </c>
      <c r="M317" s="15">
        <v>838884.84000000008</v>
      </c>
      <c r="N317" s="15">
        <v>535725.12</v>
      </c>
      <c r="O317" s="16">
        <v>303159.72000000009</v>
      </c>
    </row>
    <row r="318" spans="2:15" ht="18.75" hidden="1" x14ac:dyDescent="0.25">
      <c r="B318" s="4" t="s">
        <v>72</v>
      </c>
      <c r="C318" s="5" t="s">
        <v>131</v>
      </c>
      <c r="D318" s="5" t="s">
        <v>93</v>
      </c>
      <c r="E318" s="5" t="s">
        <v>54</v>
      </c>
      <c r="F318" s="5" t="s">
        <v>63</v>
      </c>
      <c r="G318" s="14">
        <v>42717</v>
      </c>
      <c r="H318" s="5">
        <v>100289571</v>
      </c>
      <c r="I318" s="14">
        <v>42722</v>
      </c>
      <c r="J318" s="5">
        <v>6768</v>
      </c>
      <c r="K318" s="15">
        <v>81.73</v>
      </c>
      <c r="L318" s="15">
        <v>56.67</v>
      </c>
      <c r="M318" s="15">
        <v>553148.64</v>
      </c>
      <c r="N318" s="15">
        <v>383542.56</v>
      </c>
      <c r="O318" s="16">
        <v>169606.08000000002</v>
      </c>
    </row>
    <row r="319" spans="2:15" ht="18.75" hidden="1" x14ac:dyDescent="0.25">
      <c r="B319" s="4" t="s">
        <v>72</v>
      </c>
      <c r="C319" s="5" t="s">
        <v>173</v>
      </c>
      <c r="D319" s="5" t="s">
        <v>68</v>
      </c>
      <c r="E319" s="5" t="s">
        <v>54</v>
      </c>
      <c r="F319" s="5" t="s">
        <v>70</v>
      </c>
      <c r="G319" s="14">
        <v>42170</v>
      </c>
      <c r="H319" s="5">
        <v>100290858</v>
      </c>
      <c r="I319" s="14">
        <v>42213</v>
      </c>
      <c r="J319" s="5">
        <v>7148</v>
      </c>
      <c r="K319" s="15">
        <v>109.28</v>
      </c>
      <c r="L319" s="15">
        <v>35.840000000000003</v>
      </c>
      <c r="M319" s="15">
        <v>781133.44000000006</v>
      </c>
      <c r="N319" s="15">
        <v>256184.32000000004</v>
      </c>
      <c r="O319" s="16">
        <v>524949.12</v>
      </c>
    </row>
    <row r="320" spans="2:15" ht="18.75" hidden="1" x14ac:dyDescent="0.25">
      <c r="B320" s="4" t="s">
        <v>51</v>
      </c>
      <c r="C320" s="5" t="s">
        <v>136</v>
      </c>
      <c r="D320" s="5" t="s">
        <v>76</v>
      </c>
      <c r="E320" s="5" t="s">
        <v>54</v>
      </c>
      <c r="F320" s="5" t="s">
        <v>59</v>
      </c>
      <c r="G320" s="14">
        <v>40486</v>
      </c>
      <c r="H320" s="5">
        <v>100291717</v>
      </c>
      <c r="I320" s="14">
        <v>40520</v>
      </c>
      <c r="J320" s="5">
        <v>7402</v>
      </c>
      <c r="K320" s="15">
        <v>421.89</v>
      </c>
      <c r="L320" s="15">
        <v>364.69</v>
      </c>
      <c r="M320" s="15">
        <v>3122829.78</v>
      </c>
      <c r="N320" s="15">
        <v>2699435.38</v>
      </c>
      <c r="O320" s="16">
        <v>423394.39999999991</v>
      </c>
    </row>
    <row r="321" spans="2:15" ht="18.75" hidden="1" x14ac:dyDescent="0.25">
      <c r="B321" s="4" t="s">
        <v>60</v>
      </c>
      <c r="C321" s="5" t="s">
        <v>238</v>
      </c>
      <c r="D321" s="5" t="s">
        <v>53</v>
      </c>
      <c r="E321" s="5" t="s">
        <v>54</v>
      </c>
      <c r="F321" s="5" t="s">
        <v>63</v>
      </c>
      <c r="G321" s="14">
        <v>42761</v>
      </c>
      <c r="H321" s="5">
        <v>100292575</v>
      </c>
      <c r="I321" s="14">
        <v>42786</v>
      </c>
      <c r="J321" s="5">
        <v>7656</v>
      </c>
      <c r="K321" s="15">
        <v>9.33</v>
      </c>
      <c r="L321" s="15">
        <v>6.92</v>
      </c>
      <c r="M321" s="15">
        <v>71430.48</v>
      </c>
      <c r="N321" s="15">
        <v>52979.519999999997</v>
      </c>
      <c r="O321" s="16">
        <v>18450.96</v>
      </c>
    </row>
    <row r="322" spans="2:15" ht="18.75" hidden="1" x14ac:dyDescent="0.25">
      <c r="B322" s="4" t="s">
        <v>81</v>
      </c>
      <c r="C322" s="5" t="s">
        <v>222</v>
      </c>
      <c r="D322" s="5" t="s">
        <v>100</v>
      </c>
      <c r="E322" s="5" t="s">
        <v>54</v>
      </c>
      <c r="F322" s="5" t="s">
        <v>59</v>
      </c>
      <c r="G322" s="14">
        <v>40529</v>
      </c>
      <c r="H322" s="5">
        <v>100294721</v>
      </c>
      <c r="I322" s="14">
        <v>40533</v>
      </c>
      <c r="J322" s="5">
        <v>8291</v>
      </c>
      <c r="K322" s="15">
        <v>205.7</v>
      </c>
      <c r="L322" s="15">
        <v>117.11</v>
      </c>
      <c r="M322" s="15">
        <v>1705458.7</v>
      </c>
      <c r="N322" s="15">
        <v>970959.01</v>
      </c>
      <c r="O322" s="16">
        <v>734499.69</v>
      </c>
    </row>
    <row r="323" spans="2:15" ht="18.75" hidden="1" x14ac:dyDescent="0.25">
      <c r="B323" s="4" t="s">
        <v>74</v>
      </c>
      <c r="C323" s="5" t="s">
        <v>141</v>
      </c>
      <c r="D323" s="5" t="s">
        <v>76</v>
      </c>
      <c r="E323" s="5" t="s">
        <v>54</v>
      </c>
      <c r="F323" s="5" t="s">
        <v>59</v>
      </c>
      <c r="G323" s="14">
        <v>41666</v>
      </c>
      <c r="H323" s="5">
        <v>100295150</v>
      </c>
      <c r="I323" s="14">
        <v>41716</v>
      </c>
      <c r="J323" s="5">
        <v>8418</v>
      </c>
      <c r="K323" s="15">
        <v>421.89</v>
      </c>
      <c r="L323" s="15">
        <v>364.69</v>
      </c>
      <c r="M323" s="15">
        <v>3551470.02</v>
      </c>
      <c r="N323" s="15">
        <v>3069960.42</v>
      </c>
      <c r="O323" s="16">
        <v>481509.60000000009</v>
      </c>
    </row>
    <row r="324" spans="2:15" ht="18.75" hidden="1" x14ac:dyDescent="0.25">
      <c r="B324" s="4" t="s">
        <v>56</v>
      </c>
      <c r="C324" s="5" t="s">
        <v>239</v>
      </c>
      <c r="D324" s="5" t="s">
        <v>53</v>
      </c>
      <c r="E324" s="5" t="s">
        <v>54</v>
      </c>
      <c r="F324" s="5" t="s">
        <v>63</v>
      </c>
      <c r="G324" s="14">
        <v>43941</v>
      </c>
      <c r="H324" s="5">
        <v>100296008</v>
      </c>
      <c r="I324" s="14">
        <v>43983</v>
      </c>
      <c r="J324" s="5">
        <v>8672</v>
      </c>
      <c r="K324" s="15">
        <v>9.33</v>
      </c>
      <c r="L324" s="15">
        <v>6.92</v>
      </c>
      <c r="M324" s="15">
        <v>80909.759999999995</v>
      </c>
      <c r="N324" s="15">
        <v>60010.239999999998</v>
      </c>
      <c r="O324" s="16">
        <v>20899.519999999997</v>
      </c>
    </row>
    <row r="325" spans="2:15" ht="18.75" hidden="1" x14ac:dyDescent="0.25">
      <c r="B325" s="4" t="s">
        <v>81</v>
      </c>
      <c r="C325" s="5" t="s">
        <v>142</v>
      </c>
      <c r="D325" s="5" t="s">
        <v>58</v>
      </c>
      <c r="E325" s="5" t="s">
        <v>54</v>
      </c>
      <c r="F325" s="5" t="s">
        <v>55</v>
      </c>
      <c r="G325" s="14">
        <v>42257</v>
      </c>
      <c r="H325" s="5">
        <v>100296866</v>
      </c>
      <c r="I325" s="14">
        <v>42290</v>
      </c>
      <c r="J325" s="5">
        <v>8926</v>
      </c>
      <c r="K325" s="15">
        <v>255.28</v>
      </c>
      <c r="L325" s="15">
        <v>159.41999999999999</v>
      </c>
      <c r="M325" s="15">
        <v>2278629.2799999998</v>
      </c>
      <c r="N325" s="15">
        <v>1422982.92</v>
      </c>
      <c r="O325" s="16">
        <v>855646.35999999987</v>
      </c>
    </row>
    <row r="326" spans="2:15" ht="18.75" hidden="1" x14ac:dyDescent="0.25">
      <c r="B326" s="4" t="s">
        <v>51</v>
      </c>
      <c r="C326" s="5" t="s">
        <v>240</v>
      </c>
      <c r="D326" s="5" t="s">
        <v>68</v>
      </c>
      <c r="E326" s="5" t="s">
        <v>54</v>
      </c>
      <c r="F326" s="5" t="s">
        <v>70</v>
      </c>
      <c r="G326" s="14">
        <v>40572</v>
      </c>
      <c r="H326" s="5">
        <v>100297725</v>
      </c>
      <c r="I326" s="14">
        <v>40596</v>
      </c>
      <c r="J326" s="5">
        <v>9180</v>
      </c>
      <c r="K326" s="15">
        <v>109.28</v>
      </c>
      <c r="L326" s="15">
        <v>35.840000000000003</v>
      </c>
      <c r="M326" s="15">
        <v>1003190.4</v>
      </c>
      <c r="N326" s="15">
        <v>329011.20000000001</v>
      </c>
      <c r="O326" s="16">
        <v>674179.2</v>
      </c>
    </row>
    <row r="327" spans="2:15" ht="18.75" hidden="1" x14ac:dyDescent="0.25">
      <c r="B327" s="4" t="s">
        <v>81</v>
      </c>
      <c r="C327" s="5" t="s">
        <v>176</v>
      </c>
      <c r="D327" s="5" t="s">
        <v>62</v>
      </c>
      <c r="E327" s="5" t="s">
        <v>54</v>
      </c>
      <c r="F327" s="5" t="s">
        <v>59</v>
      </c>
      <c r="G327" s="14">
        <v>41710</v>
      </c>
      <c r="H327" s="5">
        <v>100298154</v>
      </c>
      <c r="I327" s="14">
        <v>41730</v>
      </c>
      <c r="J327" s="5">
        <v>9307</v>
      </c>
      <c r="K327" s="15">
        <v>437.2</v>
      </c>
      <c r="L327" s="15">
        <v>263.33</v>
      </c>
      <c r="M327" s="15">
        <v>4069020.4</v>
      </c>
      <c r="N327" s="15">
        <v>2450812.31</v>
      </c>
      <c r="O327" s="16">
        <v>1618208.0899999999</v>
      </c>
    </row>
    <row r="328" spans="2:15" ht="18.75" hidden="1" x14ac:dyDescent="0.25">
      <c r="B328" s="4" t="s">
        <v>60</v>
      </c>
      <c r="C328" s="5" t="s">
        <v>146</v>
      </c>
      <c r="D328" s="5" t="s">
        <v>76</v>
      </c>
      <c r="E328" s="5" t="s">
        <v>54</v>
      </c>
      <c r="F328" s="5" t="s">
        <v>59</v>
      </c>
      <c r="G328" s="14">
        <v>42847</v>
      </c>
      <c r="H328" s="5">
        <v>100298583</v>
      </c>
      <c r="I328" s="14">
        <v>42862</v>
      </c>
      <c r="J328" s="5">
        <v>9434</v>
      </c>
      <c r="K328" s="15">
        <v>421.89</v>
      </c>
      <c r="L328" s="15">
        <v>364.69</v>
      </c>
      <c r="M328" s="15">
        <v>3980110.26</v>
      </c>
      <c r="N328" s="15">
        <v>3440485.46</v>
      </c>
      <c r="O328" s="16">
        <v>539624.79999999981</v>
      </c>
    </row>
    <row r="329" spans="2:15" ht="18.75" hidden="1" x14ac:dyDescent="0.25">
      <c r="B329" s="4" t="s">
        <v>81</v>
      </c>
      <c r="C329" s="5" t="s">
        <v>241</v>
      </c>
      <c r="D329" s="5" t="s">
        <v>53</v>
      </c>
      <c r="E329" s="5" t="s">
        <v>54</v>
      </c>
      <c r="F329" s="5" t="s">
        <v>55</v>
      </c>
      <c r="G329" s="14">
        <v>41163</v>
      </c>
      <c r="H329" s="5">
        <v>100299441</v>
      </c>
      <c r="I329" s="14">
        <v>41170</v>
      </c>
      <c r="J329" s="5">
        <v>9688</v>
      </c>
      <c r="K329" s="15">
        <v>9.33</v>
      </c>
      <c r="L329" s="15">
        <v>6.92</v>
      </c>
      <c r="M329" s="15">
        <v>90389.04</v>
      </c>
      <c r="N329" s="15">
        <v>67040.960000000006</v>
      </c>
      <c r="O329" s="16">
        <v>23348.079999999987</v>
      </c>
    </row>
    <row r="330" spans="2:15" ht="18.75" hidden="1" x14ac:dyDescent="0.25">
      <c r="B330" s="4" t="s">
        <v>74</v>
      </c>
      <c r="C330" s="5" t="s">
        <v>178</v>
      </c>
      <c r="D330" s="5" t="s">
        <v>80</v>
      </c>
      <c r="E330" s="5" t="s">
        <v>54</v>
      </c>
      <c r="F330" s="5" t="s">
        <v>55</v>
      </c>
      <c r="G330" s="14">
        <v>42300</v>
      </c>
      <c r="H330" s="5">
        <v>100299870</v>
      </c>
      <c r="I330" s="14">
        <v>42302</v>
      </c>
      <c r="J330" s="5">
        <v>9815</v>
      </c>
      <c r="K330" s="15">
        <v>668.27</v>
      </c>
      <c r="L330" s="15">
        <v>502.54</v>
      </c>
      <c r="M330" s="15">
        <v>6559070.0499999998</v>
      </c>
      <c r="N330" s="15">
        <v>4932430.1000000006</v>
      </c>
      <c r="O330" s="16">
        <v>1626639.9499999993</v>
      </c>
    </row>
    <row r="331" spans="2:15" ht="18.75" hidden="1" x14ac:dyDescent="0.25">
      <c r="B331" s="4" t="s">
        <v>72</v>
      </c>
      <c r="C331" s="5" t="s">
        <v>223</v>
      </c>
      <c r="D331" s="5" t="s">
        <v>58</v>
      </c>
      <c r="E331" s="5" t="s">
        <v>54</v>
      </c>
      <c r="F331" s="5" t="s">
        <v>70</v>
      </c>
      <c r="G331" s="14">
        <v>43437</v>
      </c>
      <c r="H331" s="5">
        <v>100300300</v>
      </c>
      <c r="I331" s="14">
        <v>43486</v>
      </c>
      <c r="J331" s="5">
        <v>9942</v>
      </c>
      <c r="K331" s="15">
        <v>255.28</v>
      </c>
      <c r="L331" s="15">
        <v>159.41999999999999</v>
      </c>
      <c r="M331" s="15">
        <v>2537993.7600000002</v>
      </c>
      <c r="N331" s="15">
        <v>1584953.64</v>
      </c>
      <c r="O331" s="16">
        <v>953040.12000000034</v>
      </c>
    </row>
    <row r="332" spans="2:15" ht="18.75" x14ac:dyDescent="0.25">
      <c r="B332" s="4" t="s">
        <v>56</v>
      </c>
      <c r="C332" s="5" t="s">
        <v>207</v>
      </c>
      <c r="D332" s="5" t="s">
        <v>76</v>
      </c>
      <c r="E332" s="5" t="s">
        <v>54</v>
      </c>
      <c r="F332" s="5" t="s">
        <v>63</v>
      </c>
      <c r="G332" s="14">
        <v>44027</v>
      </c>
      <c r="H332" s="5">
        <v>100302016</v>
      </c>
      <c r="I332" s="14">
        <v>44059</v>
      </c>
      <c r="J332" s="5">
        <v>450</v>
      </c>
      <c r="K332" s="15">
        <v>421.89</v>
      </c>
      <c r="L332" s="15">
        <v>364.69</v>
      </c>
      <c r="M332" s="15">
        <v>189850.5</v>
      </c>
      <c r="N332" s="15">
        <v>164110.5</v>
      </c>
      <c r="O332" s="16">
        <v>25740</v>
      </c>
    </row>
    <row r="333" spans="2:15" ht="18.75" hidden="1" x14ac:dyDescent="0.25">
      <c r="B333" s="4" t="s">
        <v>51</v>
      </c>
      <c r="C333" s="5" t="s">
        <v>234</v>
      </c>
      <c r="D333" s="5" t="s">
        <v>58</v>
      </c>
      <c r="E333" s="5" t="s">
        <v>54</v>
      </c>
      <c r="F333" s="5" t="s">
        <v>70</v>
      </c>
      <c r="G333" s="14">
        <v>40659</v>
      </c>
      <c r="H333" s="5">
        <v>100303733</v>
      </c>
      <c r="I333" s="14">
        <v>40673</v>
      </c>
      <c r="J333" s="5">
        <v>958</v>
      </c>
      <c r="K333" s="15">
        <v>255.28</v>
      </c>
      <c r="L333" s="15">
        <v>159.41999999999999</v>
      </c>
      <c r="M333" s="15">
        <v>244558.24</v>
      </c>
      <c r="N333" s="15">
        <v>152724.35999999999</v>
      </c>
      <c r="O333" s="16">
        <v>91833.88</v>
      </c>
    </row>
    <row r="334" spans="2:15" ht="18.75" hidden="1" x14ac:dyDescent="0.25">
      <c r="B334" s="4" t="s">
        <v>60</v>
      </c>
      <c r="C334" s="5" t="s">
        <v>71</v>
      </c>
      <c r="D334" s="5" t="s">
        <v>68</v>
      </c>
      <c r="E334" s="5" t="s">
        <v>54</v>
      </c>
      <c r="F334" s="5" t="s">
        <v>59</v>
      </c>
      <c r="G334" s="14">
        <v>42933</v>
      </c>
      <c r="H334" s="5">
        <v>100304591</v>
      </c>
      <c r="I334" s="14">
        <v>42938</v>
      </c>
      <c r="J334" s="5">
        <v>1212</v>
      </c>
      <c r="K334" s="15">
        <v>109.28</v>
      </c>
      <c r="L334" s="15">
        <v>35.840000000000003</v>
      </c>
      <c r="M334" s="15">
        <v>132447.36000000002</v>
      </c>
      <c r="N334" s="15">
        <v>43438.080000000002</v>
      </c>
      <c r="O334" s="16">
        <v>89009.280000000013</v>
      </c>
    </row>
    <row r="335" spans="2:15" ht="18.75" hidden="1" x14ac:dyDescent="0.25">
      <c r="B335" s="4" t="s">
        <v>81</v>
      </c>
      <c r="C335" s="5" t="s">
        <v>181</v>
      </c>
      <c r="D335" s="5" t="s">
        <v>76</v>
      </c>
      <c r="E335" s="5" t="s">
        <v>54</v>
      </c>
      <c r="F335" s="5" t="s">
        <v>63</v>
      </c>
      <c r="G335" s="14">
        <v>41249</v>
      </c>
      <c r="H335" s="5">
        <v>100305449</v>
      </c>
      <c r="I335" s="14">
        <v>41297</v>
      </c>
      <c r="J335" s="5">
        <v>1466</v>
      </c>
      <c r="K335" s="15">
        <v>421.89</v>
      </c>
      <c r="L335" s="15">
        <v>364.69</v>
      </c>
      <c r="M335" s="15">
        <v>618490.74</v>
      </c>
      <c r="N335" s="15">
        <v>534635.54</v>
      </c>
      <c r="O335" s="16">
        <v>83855.199999999953</v>
      </c>
    </row>
    <row r="336" spans="2:15" ht="18.75" hidden="1" x14ac:dyDescent="0.25">
      <c r="B336" s="4" t="s">
        <v>56</v>
      </c>
      <c r="C336" s="5" t="s">
        <v>183</v>
      </c>
      <c r="D336" s="5" t="s">
        <v>80</v>
      </c>
      <c r="E336" s="5" t="s">
        <v>54</v>
      </c>
      <c r="F336" s="5" t="s">
        <v>70</v>
      </c>
      <c r="G336" s="14">
        <v>40702</v>
      </c>
      <c r="H336" s="5">
        <v>100306737</v>
      </c>
      <c r="I336" s="14">
        <v>40737</v>
      </c>
      <c r="J336" s="5">
        <v>1847</v>
      </c>
      <c r="K336" s="15">
        <v>668.27</v>
      </c>
      <c r="L336" s="15">
        <v>502.54</v>
      </c>
      <c r="M336" s="15">
        <v>1234294.69</v>
      </c>
      <c r="N336" s="15">
        <v>928191.38</v>
      </c>
      <c r="O336" s="16">
        <v>306103.30999999994</v>
      </c>
    </row>
    <row r="337" spans="2:15" ht="18.75" hidden="1" x14ac:dyDescent="0.25">
      <c r="B337" s="4" t="s">
        <v>51</v>
      </c>
      <c r="C337" s="5" t="s">
        <v>79</v>
      </c>
      <c r="D337" s="5" t="s">
        <v>58</v>
      </c>
      <c r="E337" s="5" t="s">
        <v>54</v>
      </c>
      <c r="F337" s="5" t="s">
        <v>70</v>
      </c>
      <c r="G337" s="14">
        <v>41839</v>
      </c>
      <c r="H337" s="5">
        <v>100307166</v>
      </c>
      <c r="I337" s="14">
        <v>41869</v>
      </c>
      <c r="J337" s="5">
        <v>1974</v>
      </c>
      <c r="K337" s="15">
        <v>255.28</v>
      </c>
      <c r="L337" s="15">
        <v>159.41999999999999</v>
      </c>
      <c r="M337" s="15">
        <v>503922.72000000003</v>
      </c>
      <c r="N337" s="15">
        <v>314695.07999999996</v>
      </c>
      <c r="O337" s="16">
        <v>189227.64000000007</v>
      </c>
    </row>
    <row r="338" spans="2:15" ht="18.75" hidden="1" x14ac:dyDescent="0.25">
      <c r="B338" s="4" t="s">
        <v>60</v>
      </c>
      <c r="C338" s="5" t="s">
        <v>184</v>
      </c>
      <c r="D338" s="5" t="s">
        <v>68</v>
      </c>
      <c r="E338" s="5" t="s">
        <v>54</v>
      </c>
      <c r="F338" s="5" t="s">
        <v>59</v>
      </c>
      <c r="G338" s="14">
        <v>44114</v>
      </c>
      <c r="H338" s="5">
        <v>100308024</v>
      </c>
      <c r="I338" s="14">
        <v>44136</v>
      </c>
      <c r="J338" s="5">
        <v>2228</v>
      </c>
      <c r="K338" s="15">
        <v>109.28</v>
      </c>
      <c r="L338" s="15">
        <v>35.840000000000003</v>
      </c>
      <c r="M338" s="15">
        <v>243475.84</v>
      </c>
      <c r="N338" s="15">
        <v>79851.520000000004</v>
      </c>
      <c r="O338" s="16">
        <v>163624.32000000001</v>
      </c>
    </row>
    <row r="339" spans="2:15" ht="18.75" hidden="1" x14ac:dyDescent="0.25">
      <c r="B339" s="4" t="s">
        <v>81</v>
      </c>
      <c r="C339" s="5" t="s">
        <v>84</v>
      </c>
      <c r="D339" s="5" t="s">
        <v>76</v>
      </c>
      <c r="E339" s="5" t="s">
        <v>54</v>
      </c>
      <c r="F339" s="5" t="s">
        <v>63</v>
      </c>
      <c r="G339" s="14">
        <v>42429</v>
      </c>
      <c r="H339" s="5">
        <v>100308883</v>
      </c>
      <c r="I339" s="14">
        <v>42442</v>
      </c>
      <c r="J339" s="5">
        <v>2482</v>
      </c>
      <c r="K339" s="15">
        <v>421.89</v>
      </c>
      <c r="L339" s="15">
        <v>364.69</v>
      </c>
      <c r="M339" s="15">
        <v>1047130.98</v>
      </c>
      <c r="N339" s="15">
        <v>905160.58</v>
      </c>
      <c r="O339" s="16">
        <v>141970.40000000002</v>
      </c>
    </row>
    <row r="340" spans="2:15" ht="18.75" hidden="1" x14ac:dyDescent="0.25">
      <c r="B340" s="4" t="s">
        <v>51</v>
      </c>
      <c r="C340" s="5" t="s">
        <v>154</v>
      </c>
      <c r="D340" s="5" t="s">
        <v>53</v>
      </c>
      <c r="E340" s="5" t="s">
        <v>54</v>
      </c>
      <c r="F340" s="5" t="s">
        <v>70</v>
      </c>
      <c r="G340" s="14">
        <v>40745</v>
      </c>
      <c r="H340" s="5">
        <v>100309741</v>
      </c>
      <c r="I340" s="14">
        <v>40749</v>
      </c>
      <c r="J340" s="5">
        <v>2736</v>
      </c>
      <c r="K340" s="15">
        <v>9.33</v>
      </c>
      <c r="L340" s="15">
        <v>6.92</v>
      </c>
      <c r="M340" s="15">
        <v>25526.880000000001</v>
      </c>
      <c r="N340" s="15">
        <v>18933.12</v>
      </c>
      <c r="O340" s="16">
        <v>6593.760000000002</v>
      </c>
    </row>
    <row r="341" spans="2:15" ht="18.75" hidden="1" x14ac:dyDescent="0.25">
      <c r="B341" s="4" t="s">
        <v>56</v>
      </c>
      <c r="C341" s="5" t="s">
        <v>156</v>
      </c>
      <c r="D341" s="5" t="s">
        <v>78</v>
      </c>
      <c r="E341" s="5" t="s">
        <v>54</v>
      </c>
      <c r="F341" s="5" t="s">
        <v>55</v>
      </c>
      <c r="G341" s="14">
        <v>40788</v>
      </c>
      <c r="H341" s="5">
        <v>100312745</v>
      </c>
      <c r="I341" s="14">
        <v>40813</v>
      </c>
      <c r="J341" s="5">
        <v>3625</v>
      </c>
      <c r="K341" s="15">
        <v>47.45</v>
      </c>
      <c r="L341" s="15">
        <v>31.79</v>
      </c>
      <c r="M341" s="15">
        <v>172006.25</v>
      </c>
      <c r="N341" s="15">
        <v>115238.75</v>
      </c>
      <c r="O341" s="16">
        <v>56767.5</v>
      </c>
    </row>
    <row r="342" spans="2:15" ht="18.75" hidden="1" x14ac:dyDescent="0.25">
      <c r="B342" s="4" t="s">
        <v>81</v>
      </c>
      <c r="C342" s="5" t="s">
        <v>187</v>
      </c>
      <c r="D342" s="5" t="s">
        <v>80</v>
      </c>
      <c r="E342" s="5" t="s">
        <v>54</v>
      </c>
      <c r="F342" s="5" t="s">
        <v>70</v>
      </c>
      <c r="G342" s="14">
        <v>43063</v>
      </c>
      <c r="H342" s="5">
        <v>100313603</v>
      </c>
      <c r="I342" s="14">
        <v>43079</v>
      </c>
      <c r="J342" s="5">
        <v>3879</v>
      </c>
      <c r="K342" s="15">
        <v>668.27</v>
      </c>
      <c r="L342" s="15">
        <v>502.54</v>
      </c>
      <c r="M342" s="15">
        <v>2592219.33</v>
      </c>
      <c r="N342" s="15">
        <v>1949352.6600000001</v>
      </c>
      <c r="O342" s="16">
        <v>642866.66999999993</v>
      </c>
    </row>
    <row r="343" spans="2:15" ht="18.75" hidden="1" x14ac:dyDescent="0.25">
      <c r="B343" s="4" t="s">
        <v>51</v>
      </c>
      <c r="C343" s="5" t="s">
        <v>205</v>
      </c>
      <c r="D343" s="5" t="s">
        <v>65</v>
      </c>
      <c r="E343" s="5" t="s">
        <v>54</v>
      </c>
      <c r="F343" s="5" t="s">
        <v>63</v>
      </c>
      <c r="G343" s="14">
        <v>41378</v>
      </c>
      <c r="H343" s="5">
        <v>100314462</v>
      </c>
      <c r="I343" s="14">
        <v>41385</v>
      </c>
      <c r="J343" s="5">
        <v>4133</v>
      </c>
      <c r="K343" s="15">
        <v>651.21</v>
      </c>
      <c r="L343" s="15">
        <v>524.96</v>
      </c>
      <c r="M343" s="15">
        <v>2691450.93</v>
      </c>
      <c r="N343" s="15">
        <v>2169659.6800000002</v>
      </c>
      <c r="O343" s="16">
        <v>521791.25</v>
      </c>
    </row>
    <row r="344" spans="2:15" ht="18.75" hidden="1" x14ac:dyDescent="0.25">
      <c r="B344" s="4" t="s">
        <v>81</v>
      </c>
      <c r="C344" s="5" t="s">
        <v>242</v>
      </c>
      <c r="D344" s="5" t="s">
        <v>68</v>
      </c>
      <c r="E344" s="5" t="s">
        <v>54</v>
      </c>
      <c r="F344" s="5" t="s">
        <v>63</v>
      </c>
      <c r="G344" s="14">
        <v>42516</v>
      </c>
      <c r="H344" s="5">
        <v>100314891</v>
      </c>
      <c r="I344" s="14">
        <v>42519</v>
      </c>
      <c r="J344" s="5">
        <v>4260</v>
      </c>
      <c r="K344" s="15">
        <v>109.28</v>
      </c>
      <c r="L344" s="15">
        <v>35.840000000000003</v>
      </c>
      <c r="M344" s="15">
        <v>465532.8</v>
      </c>
      <c r="N344" s="15">
        <v>152678.40000000002</v>
      </c>
      <c r="O344" s="16">
        <v>312854.39999999997</v>
      </c>
    </row>
    <row r="345" spans="2:15" ht="18.75" hidden="1" x14ac:dyDescent="0.25">
      <c r="B345" s="4" t="s">
        <v>72</v>
      </c>
      <c r="C345" s="5" t="s">
        <v>91</v>
      </c>
      <c r="D345" s="5" t="s">
        <v>93</v>
      </c>
      <c r="E345" s="5" t="s">
        <v>54</v>
      </c>
      <c r="F345" s="5" t="s">
        <v>55</v>
      </c>
      <c r="G345" s="14">
        <v>40831</v>
      </c>
      <c r="H345" s="5">
        <v>100315749</v>
      </c>
      <c r="I345" s="14">
        <v>40876</v>
      </c>
      <c r="J345" s="5">
        <v>4514</v>
      </c>
      <c r="K345" s="15">
        <v>81.73</v>
      </c>
      <c r="L345" s="15">
        <v>56.67</v>
      </c>
      <c r="M345" s="15">
        <v>368929.22000000003</v>
      </c>
      <c r="N345" s="15">
        <v>255808.38</v>
      </c>
      <c r="O345" s="16">
        <v>113120.84000000003</v>
      </c>
    </row>
    <row r="346" spans="2:15" ht="18.75" hidden="1" x14ac:dyDescent="0.25">
      <c r="B346" s="4" t="s">
        <v>51</v>
      </c>
      <c r="C346" s="5" t="s">
        <v>189</v>
      </c>
      <c r="D346" s="5" t="s">
        <v>65</v>
      </c>
      <c r="E346" s="5" t="s">
        <v>54</v>
      </c>
      <c r="F346" s="5" t="s">
        <v>63</v>
      </c>
      <c r="G346" s="14">
        <v>42559</v>
      </c>
      <c r="H346" s="5">
        <v>100317895</v>
      </c>
      <c r="I346" s="14">
        <v>42582</v>
      </c>
      <c r="J346" s="5">
        <v>5149</v>
      </c>
      <c r="K346" s="15">
        <v>651.21</v>
      </c>
      <c r="L346" s="15">
        <v>524.96</v>
      </c>
      <c r="M346" s="15">
        <v>3353080.29</v>
      </c>
      <c r="N346" s="15">
        <v>2703019.04</v>
      </c>
      <c r="O346" s="16">
        <v>650061.25</v>
      </c>
    </row>
    <row r="347" spans="2:15" ht="18.75" hidden="1" x14ac:dyDescent="0.25">
      <c r="B347" s="4" t="s">
        <v>81</v>
      </c>
      <c r="C347" s="5" t="s">
        <v>190</v>
      </c>
      <c r="D347" s="5" t="s">
        <v>88</v>
      </c>
      <c r="E347" s="5" t="s">
        <v>54</v>
      </c>
      <c r="F347" s="5" t="s">
        <v>63</v>
      </c>
      <c r="G347" s="14">
        <v>43696</v>
      </c>
      <c r="H347" s="5">
        <v>100318324</v>
      </c>
      <c r="I347" s="14">
        <v>43715</v>
      </c>
      <c r="J347" s="5">
        <v>5276</v>
      </c>
      <c r="K347" s="15">
        <v>152.58000000000001</v>
      </c>
      <c r="L347" s="15">
        <v>97.44</v>
      </c>
      <c r="M347" s="15">
        <v>805012.08000000007</v>
      </c>
      <c r="N347" s="15">
        <v>514093.44</v>
      </c>
      <c r="O347" s="16">
        <v>290918.64000000007</v>
      </c>
    </row>
    <row r="348" spans="2:15" ht="18.75" hidden="1" x14ac:dyDescent="0.25">
      <c r="B348" s="4" t="s">
        <v>60</v>
      </c>
      <c r="C348" s="5" t="s">
        <v>243</v>
      </c>
      <c r="D348" s="5" t="s">
        <v>62</v>
      </c>
      <c r="E348" s="5" t="s">
        <v>54</v>
      </c>
      <c r="F348" s="5" t="s">
        <v>55</v>
      </c>
      <c r="G348" s="14">
        <v>40874</v>
      </c>
      <c r="H348" s="5">
        <v>100318753</v>
      </c>
      <c r="I348" s="14">
        <v>40889</v>
      </c>
      <c r="J348" s="5">
        <v>5403</v>
      </c>
      <c r="K348" s="15">
        <v>437.2</v>
      </c>
      <c r="L348" s="15">
        <v>263.33</v>
      </c>
      <c r="M348" s="15">
        <v>2362191.6</v>
      </c>
      <c r="N348" s="15">
        <v>1422771.99</v>
      </c>
      <c r="O348" s="16">
        <v>939419.6100000001</v>
      </c>
    </row>
    <row r="349" spans="2:15" ht="18.75" hidden="1" x14ac:dyDescent="0.25">
      <c r="B349" s="4" t="s">
        <v>60</v>
      </c>
      <c r="C349" s="5" t="s">
        <v>217</v>
      </c>
      <c r="D349" s="5" t="s">
        <v>96</v>
      </c>
      <c r="E349" s="5" t="s">
        <v>54</v>
      </c>
      <c r="F349" s="5" t="s">
        <v>59</v>
      </c>
      <c r="G349" s="14">
        <v>40327</v>
      </c>
      <c r="H349" s="5">
        <v>100320041</v>
      </c>
      <c r="I349" s="14">
        <v>40329</v>
      </c>
      <c r="J349" s="5">
        <v>5784</v>
      </c>
      <c r="K349" s="15">
        <v>154.06</v>
      </c>
      <c r="L349" s="15">
        <v>90.93</v>
      </c>
      <c r="M349" s="15">
        <v>891083.04</v>
      </c>
      <c r="N349" s="15">
        <v>525939.12</v>
      </c>
      <c r="O349" s="16">
        <v>365143.92000000004</v>
      </c>
    </row>
    <row r="350" spans="2:15" ht="18.75" hidden="1" x14ac:dyDescent="0.25">
      <c r="B350" s="4" t="s">
        <v>51</v>
      </c>
      <c r="C350" s="5" t="s">
        <v>98</v>
      </c>
      <c r="D350" s="5" t="s">
        <v>80</v>
      </c>
      <c r="E350" s="5" t="s">
        <v>54</v>
      </c>
      <c r="F350" s="5" t="s">
        <v>59</v>
      </c>
      <c r="G350" s="14">
        <v>41465</v>
      </c>
      <c r="H350" s="5">
        <v>100320470</v>
      </c>
      <c r="I350" s="14">
        <v>41513</v>
      </c>
      <c r="J350" s="5">
        <v>5911</v>
      </c>
      <c r="K350" s="15">
        <v>668.27</v>
      </c>
      <c r="L350" s="15">
        <v>502.54</v>
      </c>
      <c r="M350" s="15">
        <v>3950143.9699999997</v>
      </c>
      <c r="N350" s="15">
        <v>2970513.94</v>
      </c>
      <c r="O350" s="16">
        <v>979630.0299999998</v>
      </c>
    </row>
    <row r="351" spans="2:15" ht="18.75" hidden="1" x14ac:dyDescent="0.25">
      <c r="B351" s="4" t="s">
        <v>81</v>
      </c>
      <c r="C351" s="5" t="s">
        <v>102</v>
      </c>
      <c r="D351" s="5" t="s">
        <v>78</v>
      </c>
      <c r="E351" s="5" t="s">
        <v>132</v>
      </c>
      <c r="F351" s="5" t="s">
        <v>70</v>
      </c>
      <c r="G351" s="14">
        <v>40371</v>
      </c>
      <c r="H351" s="5">
        <v>100323045</v>
      </c>
      <c r="I351" s="14">
        <v>40393</v>
      </c>
      <c r="J351" s="5">
        <v>6673</v>
      </c>
      <c r="K351" s="15">
        <v>47.45</v>
      </c>
      <c r="L351" s="15">
        <v>31.79</v>
      </c>
      <c r="M351" s="15">
        <v>316633.85000000003</v>
      </c>
      <c r="N351" s="15">
        <v>212134.66999999998</v>
      </c>
      <c r="O351" s="16">
        <v>104499.18000000005</v>
      </c>
    </row>
    <row r="352" spans="2:15" ht="18.75" hidden="1" x14ac:dyDescent="0.25">
      <c r="B352" s="4" t="s">
        <v>51</v>
      </c>
      <c r="C352" s="5" t="s">
        <v>165</v>
      </c>
      <c r="D352" s="5" t="s">
        <v>80</v>
      </c>
      <c r="E352" s="5" t="s">
        <v>132</v>
      </c>
      <c r="F352" s="5" t="s">
        <v>63</v>
      </c>
      <c r="G352" s="14">
        <v>42645</v>
      </c>
      <c r="H352" s="5">
        <v>100323903</v>
      </c>
      <c r="I352" s="14">
        <v>42658</v>
      </c>
      <c r="J352" s="5">
        <v>6927</v>
      </c>
      <c r="K352" s="15">
        <v>668.27</v>
      </c>
      <c r="L352" s="15">
        <v>502.54</v>
      </c>
      <c r="M352" s="15">
        <v>4629106.29</v>
      </c>
      <c r="N352" s="15">
        <v>3481094.58</v>
      </c>
      <c r="O352" s="16">
        <v>1148011.71</v>
      </c>
    </row>
    <row r="353" spans="2:15" ht="18.75" hidden="1" x14ac:dyDescent="0.25">
      <c r="B353" s="4" t="s">
        <v>81</v>
      </c>
      <c r="C353" s="5" t="s">
        <v>194</v>
      </c>
      <c r="D353" s="5" t="s">
        <v>100</v>
      </c>
      <c r="E353" s="5" t="s">
        <v>132</v>
      </c>
      <c r="F353" s="5" t="s">
        <v>63</v>
      </c>
      <c r="G353" s="14">
        <v>43783</v>
      </c>
      <c r="H353" s="5">
        <v>100324332</v>
      </c>
      <c r="I353" s="14">
        <v>43792</v>
      </c>
      <c r="J353" s="5">
        <v>7054</v>
      </c>
      <c r="K353" s="15">
        <v>205.7</v>
      </c>
      <c r="L353" s="15">
        <v>117.11</v>
      </c>
      <c r="M353" s="15">
        <v>1451007.7999999998</v>
      </c>
      <c r="N353" s="15">
        <v>826093.94</v>
      </c>
      <c r="O353" s="16">
        <v>624913.85999999987</v>
      </c>
    </row>
    <row r="354" spans="2:15" ht="18.75" hidden="1" x14ac:dyDescent="0.25">
      <c r="B354" s="4" t="s">
        <v>51</v>
      </c>
      <c r="C354" s="5" t="s">
        <v>196</v>
      </c>
      <c r="D354" s="5" t="s">
        <v>80</v>
      </c>
      <c r="E354" s="5" t="s">
        <v>132</v>
      </c>
      <c r="F354" s="5" t="s">
        <v>63</v>
      </c>
      <c r="G354" s="14">
        <v>43826</v>
      </c>
      <c r="H354" s="5">
        <v>100327336</v>
      </c>
      <c r="I354" s="14">
        <v>43855</v>
      </c>
      <c r="J354" s="5">
        <v>7943</v>
      </c>
      <c r="K354" s="15">
        <v>668.27</v>
      </c>
      <c r="L354" s="15">
        <v>502.54</v>
      </c>
      <c r="M354" s="15">
        <v>5308068.6099999994</v>
      </c>
      <c r="N354" s="15">
        <v>3991675.22</v>
      </c>
      <c r="O354" s="16">
        <v>1316393.3899999992</v>
      </c>
    </row>
    <row r="355" spans="2:15" ht="18.75" hidden="1" x14ac:dyDescent="0.25">
      <c r="B355" s="4" t="s">
        <v>81</v>
      </c>
      <c r="C355" s="5" t="s">
        <v>197</v>
      </c>
      <c r="D355" s="5" t="s">
        <v>100</v>
      </c>
      <c r="E355" s="5" t="s">
        <v>132</v>
      </c>
      <c r="F355" s="5" t="s">
        <v>63</v>
      </c>
      <c r="G355" s="14">
        <v>41004</v>
      </c>
      <c r="H355" s="5">
        <v>100327765</v>
      </c>
      <c r="I355" s="14">
        <v>41029</v>
      </c>
      <c r="J355" s="5">
        <v>8070</v>
      </c>
      <c r="K355" s="15">
        <v>205.7</v>
      </c>
      <c r="L355" s="15">
        <v>117.11</v>
      </c>
      <c r="M355" s="15">
        <v>1659999</v>
      </c>
      <c r="N355" s="15">
        <v>945077.7</v>
      </c>
      <c r="O355" s="16">
        <v>714921.3</v>
      </c>
    </row>
    <row r="356" spans="2:15" ht="18.75" hidden="1" x14ac:dyDescent="0.25">
      <c r="B356" s="4" t="s">
        <v>51</v>
      </c>
      <c r="C356" s="5" t="s">
        <v>244</v>
      </c>
      <c r="D356" s="5" t="s">
        <v>78</v>
      </c>
      <c r="E356" s="5" t="s">
        <v>132</v>
      </c>
      <c r="F356" s="5" t="s">
        <v>59</v>
      </c>
      <c r="G356" s="14">
        <v>42732</v>
      </c>
      <c r="H356" s="5">
        <v>100329911</v>
      </c>
      <c r="I356" s="14">
        <v>42735</v>
      </c>
      <c r="J356" s="5">
        <v>8705</v>
      </c>
      <c r="K356" s="15">
        <v>47.45</v>
      </c>
      <c r="L356" s="15">
        <v>31.79</v>
      </c>
      <c r="M356" s="15">
        <v>413052.25</v>
      </c>
      <c r="N356" s="15">
        <v>276731.95</v>
      </c>
      <c r="O356" s="16">
        <v>136320.29999999999</v>
      </c>
    </row>
    <row r="357" spans="2:15" ht="18.75" hidden="1" x14ac:dyDescent="0.25">
      <c r="B357" s="4" t="s">
        <v>60</v>
      </c>
      <c r="C357" s="5" t="s">
        <v>172</v>
      </c>
      <c r="D357" s="5" t="s">
        <v>80</v>
      </c>
      <c r="E357" s="5" t="s">
        <v>132</v>
      </c>
      <c r="F357" s="5" t="s">
        <v>63</v>
      </c>
      <c r="G357" s="14">
        <v>41047</v>
      </c>
      <c r="H357" s="5">
        <v>100330770</v>
      </c>
      <c r="I357" s="14">
        <v>41093</v>
      </c>
      <c r="J357" s="5">
        <v>8959</v>
      </c>
      <c r="K357" s="15">
        <v>668.27</v>
      </c>
      <c r="L357" s="15">
        <v>502.54</v>
      </c>
      <c r="M357" s="15">
        <v>5987030.9299999997</v>
      </c>
      <c r="N357" s="15">
        <v>4502255.8600000003</v>
      </c>
      <c r="O357" s="16">
        <v>1484775.0699999994</v>
      </c>
    </row>
    <row r="358" spans="2:15" ht="18.75" hidden="1" x14ac:dyDescent="0.25">
      <c r="B358" s="4" t="s">
        <v>72</v>
      </c>
      <c r="C358" s="5" t="s">
        <v>109</v>
      </c>
      <c r="D358" s="5" t="s">
        <v>100</v>
      </c>
      <c r="E358" s="5" t="s">
        <v>132</v>
      </c>
      <c r="F358" s="5" t="s">
        <v>55</v>
      </c>
      <c r="G358" s="14">
        <v>42184</v>
      </c>
      <c r="H358" s="5">
        <v>100331199</v>
      </c>
      <c r="I358" s="14">
        <v>42225</v>
      </c>
      <c r="J358" s="5">
        <v>9086</v>
      </c>
      <c r="K358" s="15">
        <v>205.7</v>
      </c>
      <c r="L358" s="15">
        <v>117.11</v>
      </c>
      <c r="M358" s="15">
        <v>1868990.2</v>
      </c>
      <c r="N358" s="15">
        <v>1064061.46</v>
      </c>
      <c r="O358" s="16">
        <v>804928.74</v>
      </c>
    </row>
    <row r="359" spans="2:15" ht="18.75" hidden="1" x14ac:dyDescent="0.25">
      <c r="B359" s="4" t="s">
        <v>51</v>
      </c>
      <c r="C359" s="5" t="s">
        <v>111</v>
      </c>
      <c r="D359" s="5" t="s">
        <v>88</v>
      </c>
      <c r="E359" s="5" t="s">
        <v>132</v>
      </c>
      <c r="F359" s="5" t="s">
        <v>70</v>
      </c>
      <c r="G359" s="14">
        <v>40500</v>
      </c>
      <c r="H359" s="5">
        <v>100332057</v>
      </c>
      <c r="I359" s="14">
        <v>40532</v>
      </c>
      <c r="J359" s="5">
        <v>9340</v>
      </c>
      <c r="K359" s="15">
        <v>152.58000000000001</v>
      </c>
      <c r="L359" s="15">
        <v>97.44</v>
      </c>
      <c r="M359" s="15">
        <v>1425097.2000000002</v>
      </c>
      <c r="N359" s="15">
        <v>910089.6</v>
      </c>
      <c r="O359" s="16">
        <v>515007.60000000021</v>
      </c>
    </row>
    <row r="360" spans="2:15" ht="18.75" hidden="1" x14ac:dyDescent="0.25">
      <c r="B360" s="4" t="s">
        <v>72</v>
      </c>
      <c r="C360" s="5" t="s">
        <v>173</v>
      </c>
      <c r="D360" s="5" t="s">
        <v>62</v>
      </c>
      <c r="E360" s="5" t="s">
        <v>132</v>
      </c>
      <c r="F360" s="5" t="s">
        <v>70</v>
      </c>
      <c r="G360" s="14">
        <v>41637</v>
      </c>
      <c r="H360" s="5">
        <v>100332486</v>
      </c>
      <c r="I360" s="14">
        <v>41665</v>
      </c>
      <c r="J360" s="5">
        <v>9467</v>
      </c>
      <c r="K360" s="15">
        <v>437.2</v>
      </c>
      <c r="L360" s="15">
        <v>263.33</v>
      </c>
      <c r="M360" s="15">
        <v>4138972.4</v>
      </c>
      <c r="N360" s="15">
        <v>2492945.11</v>
      </c>
      <c r="O360" s="16">
        <v>1646027.29</v>
      </c>
    </row>
    <row r="361" spans="2:15" ht="18.75" hidden="1" x14ac:dyDescent="0.25">
      <c r="B361" s="4" t="s">
        <v>51</v>
      </c>
      <c r="C361" s="5" t="s">
        <v>113</v>
      </c>
      <c r="D361" s="5" t="s">
        <v>78</v>
      </c>
      <c r="E361" s="5" t="s">
        <v>132</v>
      </c>
      <c r="F361" s="5" t="s">
        <v>59</v>
      </c>
      <c r="G361" s="14">
        <v>43912</v>
      </c>
      <c r="H361" s="5">
        <v>100333344</v>
      </c>
      <c r="I361" s="14">
        <v>43931</v>
      </c>
      <c r="J361" s="5">
        <v>9721</v>
      </c>
      <c r="K361" s="15">
        <v>47.45</v>
      </c>
      <c r="L361" s="15">
        <v>31.79</v>
      </c>
      <c r="M361" s="15">
        <v>461261.45</v>
      </c>
      <c r="N361" s="15">
        <v>309030.58999999997</v>
      </c>
      <c r="O361" s="16">
        <v>152230.86000000004</v>
      </c>
    </row>
    <row r="362" spans="2:15" ht="18.75" hidden="1" x14ac:dyDescent="0.25">
      <c r="B362" s="4" t="s">
        <v>81</v>
      </c>
      <c r="C362" s="5" t="s">
        <v>199</v>
      </c>
      <c r="D362" s="5" t="s">
        <v>96</v>
      </c>
      <c r="E362" s="5" t="s">
        <v>132</v>
      </c>
      <c r="F362" s="5" t="s">
        <v>63</v>
      </c>
      <c r="G362" s="14">
        <v>41090</v>
      </c>
      <c r="H362" s="5">
        <v>100333774</v>
      </c>
      <c r="I362" s="14">
        <v>41105</v>
      </c>
      <c r="J362" s="5">
        <v>9848</v>
      </c>
      <c r="K362" s="15">
        <v>154.06</v>
      </c>
      <c r="L362" s="15">
        <v>90.93</v>
      </c>
      <c r="M362" s="15">
        <v>1517182.8800000001</v>
      </c>
      <c r="N362" s="15">
        <v>895478.64</v>
      </c>
      <c r="O362" s="16">
        <v>621704.24000000011</v>
      </c>
    </row>
    <row r="363" spans="2:15" ht="18.75" hidden="1" x14ac:dyDescent="0.25">
      <c r="B363" s="4" t="s">
        <v>51</v>
      </c>
      <c r="C363" s="5" t="s">
        <v>114</v>
      </c>
      <c r="D363" s="5" t="s">
        <v>100</v>
      </c>
      <c r="E363" s="5" t="s">
        <v>132</v>
      </c>
      <c r="F363" s="5" t="s">
        <v>55</v>
      </c>
      <c r="G363" s="14">
        <v>43365</v>
      </c>
      <c r="H363" s="5">
        <v>100334632</v>
      </c>
      <c r="I363" s="14">
        <v>43371</v>
      </c>
      <c r="J363" s="5">
        <v>102</v>
      </c>
      <c r="K363" s="15">
        <v>205.7</v>
      </c>
      <c r="L363" s="15">
        <v>117.11</v>
      </c>
      <c r="M363" s="15">
        <v>20981.399999999998</v>
      </c>
      <c r="N363" s="15">
        <v>11945.22</v>
      </c>
      <c r="O363" s="16">
        <v>9036.1799999999985</v>
      </c>
    </row>
    <row r="364" spans="2:15" ht="18.75" hidden="1" x14ac:dyDescent="0.25">
      <c r="B364" s="4" t="s">
        <v>81</v>
      </c>
      <c r="C364" s="5" t="s">
        <v>115</v>
      </c>
      <c r="D364" s="5" t="s">
        <v>65</v>
      </c>
      <c r="E364" s="5" t="s">
        <v>132</v>
      </c>
      <c r="F364" s="5" t="s">
        <v>70</v>
      </c>
      <c r="G364" s="14">
        <v>40543</v>
      </c>
      <c r="H364" s="5">
        <v>100335061</v>
      </c>
      <c r="I364" s="14">
        <v>40545</v>
      </c>
      <c r="J364" s="5">
        <v>229</v>
      </c>
      <c r="K364" s="15">
        <v>651.21</v>
      </c>
      <c r="L364" s="15">
        <v>524.96</v>
      </c>
      <c r="M364" s="15">
        <v>149127.09</v>
      </c>
      <c r="N364" s="15">
        <v>120215.84000000001</v>
      </c>
      <c r="O364" s="16">
        <v>28911.249999999985</v>
      </c>
    </row>
    <row r="365" spans="2:15" ht="18.75" hidden="1" x14ac:dyDescent="0.25">
      <c r="B365" s="4" t="s">
        <v>60</v>
      </c>
      <c r="C365" s="5" t="s">
        <v>201</v>
      </c>
      <c r="D365" s="5" t="s">
        <v>88</v>
      </c>
      <c r="E365" s="5" t="s">
        <v>132</v>
      </c>
      <c r="F365" s="5" t="s">
        <v>70</v>
      </c>
      <c r="G365" s="14">
        <v>41681</v>
      </c>
      <c r="H365" s="5">
        <v>100335490</v>
      </c>
      <c r="I365" s="14">
        <v>41730</v>
      </c>
      <c r="J365" s="5">
        <v>356</v>
      </c>
      <c r="K365" s="15">
        <v>152.58000000000001</v>
      </c>
      <c r="L365" s="15">
        <v>97.44</v>
      </c>
      <c r="M365" s="15">
        <v>54318.48</v>
      </c>
      <c r="N365" s="15">
        <v>34688.639999999999</v>
      </c>
      <c r="O365" s="16">
        <v>19629.840000000004</v>
      </c>
    </row>
    <row r="366" spans="2:15" ht="18.75" hidden="1" x14ac:dyDescent="0.25">
      <c r="B366" s="4" t="s">
        <v>51</v>
      </c>
      <c r="C366" s="5" t="s">
        <v>116</v>
      </c>
      <c r="D366" s="5" t="s">
        <v>53</v>
      </c>
      <c r="E366" s="5" t="s">
        <v>132</v>
      </c>
      <c r="F366" s="5" t="s">
        <v>59</v>
      </c>
      <c r="G366" s="14">
        <v>42818</v>
      </c>
      <c r="H366" s="5">
        <v>100335919</v>
      </c>
      <c r="I366" s="14">
        <v>42862</v>
      </c>
      <c r="J366" s="5">
        <v>483</v>
      </c>
      <c r="K366" s="15">
        <v>9.33</v>
      </c>
      <c r="L366" s="15">
        <v>6.92</v>
      </c>
      <c r="M366" s="15">
        <v>4506.3900000000003</v>
      </c>
      <c r="N366" s="15">
        <v>3342.36</v>
      </c>
      <c r="O366" s="16">
        <v>1164.0300000000002</v>
      </c>
    </row>
    <row r="367" spans="2:15" ht="18.75" hidden="1" x14ac:dyDescent="0.25">
      <c r="B367" s="4" t="s">
        <v>56</v>
      </c>
      <c r="C367" s="5" t="s">
        <v>218</v>
      </c>
      <c r="D367" s="5" t="s">
        <v>68</v>
      </c>
      <c r="E367" s="5" t="s">
        <v>132</v>
      </c>
      <c r="F367" s="5" t="s">
        <v>55</v>
      </c>
      <c r="G367" s="14">
        <v>43408</v>
      </c>
      <c r="H367" s="5">
        <v>100337636</v>
      </c>
      <c r="I367" s="14">
        <v>43435</v>
      </c>
      <c r="J367" s="5">
        <v>991</v>
      </c>
      <c r="K367" s="15">
        <v>109.28</v>
      </c>
      <c r="L367" s="15">
        <v>35.840000000000003</v>
      </c>
      <c r="M367" s="15">
        <v>108296.48</v>
      </c>
      <c r="N367" s="15">
        <v>35517.440000000002</v>
      </c>
      <c r="O367" s="16">
        <v>72779.039999999994</v>
      </c>
    </row>
    <row r="368" spans="2:15" ht="18.75" hidden="1" x14ac:dyDescent="0.25">
      <c r="B368" s="4" t="s">
        <v>81</v>
      </c>
      <c r="C368" s="5" t="s">
        <v>119</v>
      </c>
      <c r="D368" s="5" t="s">
        <v>76</v>
      </c>
      <c r="E368" s="5" t="s">
        <v>132</v>
      </c>
      <c r="F368" s="5" t="s">
        <v>70</v>
      </c>
      <c r="G368" s="14">
        <v>41724</v>
      </c>
      <c r="H368" s="5">
        <v>100338494</v>
      </c>
      <c r="I368" s="14">
        <v>41742</v>
      </c>
      <c r="J368" s="5">
        <v>1245</v>
      </c>
      <c r="K368" s="15">
        <v>421.89</v>
      </c>
      <c r="L368" s="15">
        <v>364.69</v>
      </c>
      <c r="M368" s="15">
        <v>525253.04999999993</v>
      </c>
      <c r="N368" s="15">
        <v>454039.05</v>
      </c>
      <c r="O368" s="16">
        <v>71213.999999999942</v>
      </c>
    </row>
    <row r="369" spans="2:15" ht="18.75" hidden="1" x14ac:dyDescent="0.25">
      <c r="B369" s="4" t="s">
        <v>51</v>
      </c>
      <c r="C369" s="5" t="s">
        <v>230</v>
      </c>
      <c r="D369" s="5" t="s">
        <v>53</v>
      </c>
      <c r="E369" s="5" t="s">
        <v>132</v>
      </c>
      <c r="F369" s="5" t="s">
        <v>59</v>
      </c>
      <c r="G369" s="14">
        <v>43998</v>
      </c>
      <c r="H369" s="5">
        <v>100339353</v>
      </c>
      <c r="I369" s="14">
        <v>44007</v>
      </c>
      <c r="J369" s="5">
        <v>1499</v>
      </c>
      <c r="K369" s="15">
        <v>9.33</v>
      </c>
      <c r="L369" s="15">
        <v>6.92</v>
      </c>
      <c r="M369" s="15">
        <v>13985.67</v>
      </c>
      <c r="N369" s="15">
        <v>10373.08</v>
      </c>
      <c r="O369" s="16">
        <v>3612.59</v>
      </c>
    </row>
    <row r="370" spans="2:15" ht="18.75" hidden="1" x14ac:dyDescent="0.25">
      <c r="B370" s="4" t="s">
        <v>51</v>
      </c>
      <c r="C370" s="5" t="s">
        <v>122</v>
      </c>
      <c r="D370" s="5" t="s">
        <v>96</v>
      </c>
      <c r="E370" s="5" t="s">
        <v>132</v>
      </c>
      <c r="F370" s="5" t="s">
        <v>55</v>
      </c>
      <c r="G370" s="14">
        <v>43451</v>
      </c>
      <c r="H370" s="5">
        <v>100340640</v>
      </c>
      <c r="I370" s="14">
        <v>43498</v>
      </c>
      <c r="J370" s="5">
        <v>1880</v>
      </c>
      <c r="K370" s="15">
        <v>154.06</v>
      </c>
      <c r="L370" s="15">
        <v>90.93</v>
      </c>
      <c r="M370" s="15">
        <v>289632.8</v>
      </c>
      <c r="N370" s="15">
        <v>170948.40000000002</v>
      </c>
      <c r="O370" s="16">
        <v>118684.39999999997</v>
      </c>
    </row>
    <row r="371" spans="2:15" ht="18.75" hidden="1" x14ac:dyDescent="0.25">
      <c r="B371" s="4" t="s">
        <v>81</v>
      </c>
      <c r="C371" s="5" t="s">
        <v>231</v>
      </c>
      <c r="D371" s="5" t="s">
        <v>68</v>
      </c>
      <c r="E371" s="5" t="s">
        <v>132</v>
      </c>
      <c r="F371" s="5" t="s">
        <v>55</v>
      </c>
      <c r="G371" s="14">
        <v>40630</v>
      </c>
      <c r="H371" s="5">
        <v>100341069</v>
      </c>
      <c r="I371" s="14">
        <v>40673</v>
      </c>
      <c r="J371" s="5">
        <v>2007</v>
      </c>
      <c r="K371" s="15">
        <v>109.28</v>
      </c>
      <c r="L371" s="15">
        <v>35.840000000000003</v>
      </c>
      <c r="M371" s="15">
        <v>219324.96</v>
      </c>
      <c r="N371" s="15">
        <v>71930.880000000005</v>
      </c>
      <c r="O371" s="16">
        <v>147394.07999999999</v>
      </c>
    </row>
    <row r="372" spans="2:15" ht="18.75" hidden="1" x14ac:dyDescent="0.25">
      <c r="B372" s="4" t="s">
        <v>74</v>
      </c>
      <c r="C372" s="5" t="s">
        <v>178</v>
      </c>
      <c r="D372" s="5" t="s">
        <v>100</v>
      </c>
      <c r="E372" s="5" t="s">
        <v>132</v>
      </c>
      <c r="F372" s="5" t="s">
        <v>70</v>
      </c>
      <c r="G372" s="14">
        <v>41767</v>
      </c>
      <c r="H372" s="5">
        <v>100341498</v>
      </c>
      <c r="I372" s="14">
        <v>41806</v>
      </c>
      <c r="J372" s="5">
        <v>2134</v>
      </c>
      <c r="K372" s="15">
        <v>205.7</v>
      </c>
      <c r="L372" s="15">
        <v>117.11</v>
      </c>
      <c r="M372" s="15">
        <v>438963.8</v>
      </c>
      <c r="N372" s="15">
        <v>249912.74</v>
      </c>
      <c r="O372" s="16">
        <v>189051.06</v>
      </c>
    </row>
    <row r="373" spans="2:15" ht="18.75" hidden="1" x14ac:dyDescent="0.25">
      <c r="B373" s="4" t="s">
        <v>72</v>
      </c>
      <c r="C373" s="5" t="s">
        <v>245</v>
      </c>
      <c r="D373" s="5" t="s">
        <v>76</v>
      </c>
      <c r="E373" s="5" t="s">
        <v>132</v>
      </c>
      <c r="F373" s="5" t="s">
        <v>70</v>
      </c>
      <c r="G373" s="14">
        <v>42904</v>
      </c>
      <c r="H373" s="5">
        <v>100341928</v>
      </c>
      <c r="I373" s="14">
        <v>42938</v>
      </c>
      <c r="J373" s="5">
        <v>2261</v>
      </c>
      <c r="K373" s="15">
        <v>421.89</v>
      </c>
      <c r="L373" s="15">
        <v>364.69</v>
      </c>
      <c r="M373" s="15">
        <v>953893.28999999992</v>
      </c>
      <c r="N373" s="15">
        <v>824564.09</v>
      </c>
      <c r="O373" s="16">
        <v>129329.19999999995</v>
      </c>
    </row>
    <row r="374" spans="2:15" ht="18.75" hidden="1" x14ac:dyDescent="0.25">
      <c r="B374" s="4" t="s">
        <v>56</v>
      </c>
      <c r="C374" s="5" t="s">
        <v>246</v>
      </c>
      <c r="D374" s="5" t="s">
        <v>88</v>
      </c>
      <c r="E374" s="5" t="s">
        <v>132</v>
      </c>
      <c r="F374" s="5" t="s">
        <v>59</v>
      </c>
      <c r="G374" s="14">
        <v>44042</v>
      </c>
      <c r="H374" s="5">
        <v>100342357</v>
      </c>
      <c r="I374" s="14">
        <v>44072</v>
      </c>
      <c r="J374" s="5">
        <v>2388</v>
      </c>
      <c r="K374" s="15">
        <v>152.58000000000001</v>
      </c>
      <c r="L374" s="15">
        <v>97.44</v>
      </c>
      <c r="M374" s="15">
        <v>364361.04000000004</v>
      </c>
      <c r="N374" s="15">
        <v>232686.72</v>
      </c>
      <c r="O374" s="16">
        <v>131674.32000000004</v>
      </c>
    </row>
    <row r="375" spans="2:15" ht="18.75" hidden="1" x14ac:dyDescent="0.25">
      <c r="B375" s="4" t="s">
        <v>51</v>
      </c>
      <c r="C375" s="5" t="s">
        <v>202</v>
      </c>
      <c r="D375" s="5" t="s">
        <v>53</v>
      </c>
      <c r="E375" s="5" t="s">
        <v>132</v>
      </c>
      <c r="F375" s="5" t="s">
        <v>59</v>
      </c>
      <c r="G375" s="14">
        <v>41220</v>
      </c>
      <c r="H375" s="5">
        <v>100342786</v>
      </c>
      <c r="I375" s="14">
        <v>41246</v>
      </c>
      <c r="J375" s="5">
        <v>2515</v>
      </c>
      <c r="K375" s="15">
        <v>9.33</v>
      </c>
      <c r="L375" s="15">
        <v>6.92</v>
      </c>
      <c r="M375" s="15">
        <v>23464.95</v>
      </c>
      <c r="N375" s="15">
        <v>17403.8</v>
      </c>
      <c r="O375" s="16">
        <v>6061.1500000000015</v>
      </c>
    </row>
    <row r="376" spans="2:15" ht="18.75" hidden="1" x14ac:dyDescent="0.25">
      <c r="B376" s="4" t="s">
        <v>56</v>
      </c>
      <c r="C376" s="5" t="s">
        <v>124</v>
      </c>
      <c r="D376" s="5" t="s">
        <v>58</v>
      </c>
      <c r="E376" s="5" t="s">
        <v>132</v>
      </c>
      <c r="F376" s="5" t="s">
        <v>55</v>
      </c>
      <c r="G376" s="14">
        <v>43494</v>
      </c>
      <c r="H376" s="5">
        <v>100343644</v>
      </c>
      <c r="I376" s="14">
        <v>43511</v>
      </c>
      <c r="J376" s="5">
        <v>2769</v>
      </c>
      <c r="K376" s="15">
        <v>255.28</v>
      </c>
      <c r="L376" s="15">
        <v>159.41999999999999</v>
      </c>
      <c r="M376" s="15">
        <v>706870.32</v>
      </c>
      <c r="N376" s="15">
        <v>441433.98</v>
      </c>
      <c r="O376" s="16">
        <v>265436.33999999997</v>
      </c>
    </row>
    <row r="377" spans="2:15" ht="18.75" hidden="1" x14ac:dyDescent="0.25">
      <c r="B377" s="4" t="s">
        <v>51</v>
      </c>
      <c r="C377" s="5" t="s">
        <v>125</v>
      </c>
      <c r="D377" s="5" t="s">
        <v>96</v>
      </c>
      <c r="E377" s="5" t="s">
        <v>132</v>
      </c>
      <c r="F377" s="5" t="s">
        <v>55</v>
      </c>
      <c r="G377" s="14">
        <v>40673</v>
      </c>
      <c r="H377" s="5">
        <v>100344073</v>
      </c>
      <c r="I377" s="14">
        <v>40685</v>
      </c>
      <c r="J377" s="5">
        <v>2896</v>
      </c>
      <c r="K377" s="15">
        <v>154.06</v>
      </c>
      <c r="L377" s="15">
        <v>90.93</v>
      </c>
      <c r="M377" s="15">
        <v>446157.76</v>
      </c>
      <c r="N377" s="15">
        <v>263333.28000000003</v>
      </c>
      <c r="O377" s="16">
        <v>182824.47999999998</v>
      </c>
    </row>
    <row r="378" spans="2:15" ht="18.75" hidden="1" x14ac:dyDescent="0.25">
      <c r="B378" s="4" t="s">
        <v>81</v>
      </c>
      <c r="C378" s="5" t="s">
        <v>126</v>
      </c>
      <c r="D378" s="5" t="s">
        <v>68</v>
      </c>
      <c r="E378" s="5" t="s">
        <v>132</v>
      </c>
      <c r="F378" s="5" t="s">
        <v>70</v>
      </c>
      <c r="G378" s="14">
        <v>41810</v>
      </c>
      <c r="H378" s="5">
        <v>100344502</v>
      </c>
      <c r="I378" s="14">
        <v>41818</v>
      </c>
      <c r="J378" s="5">
        <v>3023</v>
      </c>
      <c r="K378" s="15">
        <v>109.28</v>
      </c>
      <c r="L378" s="15">
        <v>35.840000000000003</v>
      </c>
      <c r="M378" s="15">
        <v>330353.44</v>
      </c>
      <c r="N378" s="15">
        <v>108344.32000000001</v>
      </c>
      <c r="O378" s="16">
        <v>222009.12</v>
      </c>
    </row>
    <row r="379" spans="2:15" ht="18.75" hidden="1" x14ac:dyDescent="0.25">
      <c r="B379" s="4" t="s">
        <v>60</v>
      </c>
      <c r="C379" s="5" t="s">
        <v>130</v>
      </c>
      <c r="D379" s="5" t="s">
        <v>53</v>
      </c>
      <c r="E379" s="5" t="s">
        <v>132</v>
      </c>
      <c r="F379" s="5" t="s">
        <v>63</v>
      </c>
      <c r="G379" s="14">
        <v>42400</v>
      </c>
      <c r="H379" s="5">
        <v>100346219</v>
      </c>
      <c r="I379" s="14">
        <v>42442</v>
      </c>
      <c r="J379" s="5">
        <v>3531</v>
      </c>
      <c r="K379" s="15">
        <v>9.33</v>
      </c>
      <c r="L379" s="15">
        <v>6.92</v>
      </c>
      <c r="M379" s="15">
        <v>32944.230000000003</v>
      </c>
      <c r="N379" s="15">
        <v>24434.52</v>
      </c>
      <c r="O379" s="16">
        <v>8509.7100000000028</v>
      </c>
    </row>
    <row r="380" spans="2:15" ht="18.75" hidden="1" x14ac:dyDescent="0.25">
      <c r="B380" s="4" t="s">
        <v>81</v>
      </c>
      <c r="C380" s="5" t="s">
        <v>181</v>
      </c>
      <c r="D380" s="5" t="s">
        <v>58</v>
      </c>
      <c r="E380" s="5" t="s">
        <v>132</v>
      </c>
      <c r="F380" s="5" t="s">
        <v>55</v>
      </c>
      <c r="G380" s="14">
        <v>40716</v>
      </c>
      <c r="H380" s="5">
        <v>100347077</v>
      </c>
      <c r="I380" s="14">
        <v>40749</v>
      </c>
      <c r="J380" s="5">
        <v>3785</v>
      </c>
      <c r="K380" s="15">
        <v>255.28</v>
      </c>
      <c r="L380" s="15">
        <v>159.41999999999999</v>
      </c>
      <c r="M380" s="15">
        <v>966234.8</v>
      </c>
      <c r="N380" s="15">
        <v>603404.69999999995</v>
      </c>
      <c r="O380" s="16">
        <v>362830.10000000009</v>
      </c>
    </row>
    <row r="381" spans="2:15" ht="18.75" hidden="1" x14ac:dyDescent="0.25">
      <c r="B381" s="4" t="s">
        <v>72</v>
      </c>
      <c r="C381" s="5" t="s">
        <v>134</v>
      </c>
      <c r="D381" s="5" t="s">
        <v>68</v>
      </c>
      <c r="E381" s="5" t="s">
        <v>132</v>
      </c>
      <c r="F381" s="5" t="s">
        <v>70</v>
      </c>
      <c r="G381" s="14">
        <v>42991</v>
      </c>
      <c r="H381" s="5">
        <v>100347936</v>
      </c>
      <c r="I381" s="14">
        <v>43015</v>
      </c>
      <c r="J381" s="5">
        <v>4039</v>
      </c>
      <c r="K381" s="15">
        <v>109.28</v>
      </c>
      <c r="L381" s="15">
        <v>35.840000000000003</v>
      </c>
      <c r="M381" s="15">
        <v>441381.92</v>
      </c>
      <c r="N381" s="15">
        <v>144757.76000000001</v>
      </c>
      <c r="O381" s="16">
        <v>296624.15999999997</v>
      </c>
    </row>
    <row r="382" spans="2:15" ht="18.75" hidden="1" x14ac:dyDescent="0.25">
      <c r="B382" s="4" t="s">
        <v>81</v>
      </c>
      <c r="C382" s="5" t="s">
        <v>84</v>
      </c>
      <c r="D382" s="5" t="s">
        <v>58</v>
      </c>
      <c r="E382" s="5" t="s">
        <v>132</v>
      </c>
      <c r="F382" s="5" t="s">
        <v>55</v>
      </c>
      <c r="G382" s="14">
        <v>41896</v>
      </c>
      <c r="H382" s="5">
        <v>100350511</v>
      </c>
      <c r="I382" s="14">
        <v>41945</v>
      </c>
      <c r="J382" s="5">
        <v>4801</v>
      </c>
      <c r="K382" s="15">
        <v>255.28</v>
      </c>
      <c r="L382" s="15">
        <v>159.41999999999999</v>
      </c>
      <c r="M382" s="15">
        <v>1225599.28</v>
      </c>
      <c r="N382" s="15">
        <v>765375.41999999993</v>
      </c>
      <c r="O382" s="16">
        <v>460223.8600000001</v>
      </c>
    </row>
    <row r="383" spans="2:15" ht="18.75" hidden="1" x14ac:dyDescent="0.25">
      <c r="B383" s="4" t="s">
        <v>81</v>
      </c>
      <c r="C383" s="5" t="s">
        <v>140</v>
      </c>
      <c r="D383" s="5" t="s">
        <v>100</v>
      </c>
      <c r="E383" s="5" t="s">
        <v>132</v>
      </c>
      <c r="F383" s="5" t="s">
        <v>59</v>
      </c>
      <c r="G383" s="14">
        <v>41349</v>
      </c>
      <c r="H383" s="5">
        <v>100351798</v>
      </c>
      <c r="I383" s="14">
        <v>41385</v>
      </c>
      <c r="J383" s="5">
        <v>5182</v>
      </c>
      <c r="K383" s="15">
        <v>205.7</v>
      </c>
      <c r="L383" s="15">
        <v>117.11</v>
      </c>
      <c r="M383" s="15">
        <v>1065937.3999999999</v>
      </c>
      <c r="N383" s="15">
        <v>606864.02</v>
      </c>
      <c r="O383" s="16">
        <v>459073.37999999989</v>
      </c>
    </row>
    <row r="384" spans="2:15" ht="18.75" hidden="1" x14ac:dyDescent="0.25">
      <c r="B384" s="4" t="s">
        <v>74</v>
      </c>
      <c r="C384" s="5" t="s">
        <v>185</v>
      </c>
      <c r="D384" s="5" t="s">
        <v>76</v>
      </c>
      <c r="E384" s="5" t="s">
        <v>132</v>
      </c>
      <c r="F384" s="5" t="s">
        <v>59</v>
      </c>
      <c r="G384" s="14">
        <v>42487</v>
      </c>
      <c r="H384" s="5">
        <v>100352227</v>
      </c>
      <c r="I384" s="14">
        <v>42519</v>
      </c>
      <c r="J384" s="5">
        <v>5309</v>
      </c>
      <c r="K384" s="15">
        <v>421.89</v>
      </c>
      <c r="L384" s="15">
        <v>364.69</v>
      </c>
      <c r="M384" s="15">
        <v>2239814.0099999998</v>
      </c>
      <c r="N384" s="15">
        <v>1936139.21</v>
      </c>
      <c r="O384" s="16">
        <v>303674.79999999981</v>
      </c>
    </row>
    <row r="385" spans="2:15" ht="18.75" hidden="1" x14ac:dyDescent="0.25">
      <c r="B385" s="4" t="s">
        <v>81</v>
      </c>
      <c r="C385" s="5" t="s">
        <v>89</v>
      </c>
      <c r="D385" s="5" t="s">
        <v>58</v>
      </c>
      <c r="E385" s="5" t="s">
        <v>132</v>
      </c>
      <c r="F385" s="5" t="s">
        <v>70</v>
      </c>
      <c r="G385" s="14">
        <v>43077</v>
      </c>
      <c r="H385" s="5">
        <v>100353944</v>
      </c>
      <c r="I385" s="14">
        <v>43091</v>
      </c>
      <c r="J385" s="5">
        <v>5817</v>
      </c>
      <c r="K385" s="15">
        <v>255.28</v>
      </c>
      <c r="L385" s="15">
        <v>159.41999999999999</v>
      </c>
      <c r="M385" s="15">
        <v>1484963.76</v>
      </c>
      <c r="N385" s="15">
        <v>927346.1399999999</v>
      </c>
      <c r="O385" s="16">
        <v>557617.62000000011</v>
      </c>
    </row>
    <row r="386" spans="2:15" ht="18.75" hidden="1" x14ac:dyDescent="0.25">
      <c r="B386" s="4" t="s">
        <v>51</v>
      </c>
      <c r="C386" s="5" t="s">
        <v>144</v>
      </c>
      <c r="D386" s="5" t="s">
        <v>68</v>
      </c>
      <c r="E386" s="5" t="s">
        <v>132</v>
      </c>
      <c r="F386" s="5" t="s">
        <v>59</v>
      </c>
      <c r="G386" s="14">
        <v>41393</v>
      </c>
      <c r="H386" s="5">
        <v>100354802</v>
      </c>
      <c r="I386" s="14">
        <v>41399</v>
      </c>
      <c r="J386" s="5">
        <v>6071</v>
      </c>
      <c r="K386" s="15">
        <v>109.28</v>
      </c>
      <c r="L386" s="15">
        <v>35.840000000000003</v>
      </c>
      <c r="M386" s="15">
        <v>663438.88</v>
      </c>
      <c r="N386" s="15">
        <v>217584.64000000001</v>
      </c>
      <c r="O386" s="16">
        <v>445854.24</v>
      </c>
    </row>
    <row r="387" spans="2:15" ht="18.75" hidden="1" x14ac:dyDescent="0.25">
      <c r="B387" s="4" t="s">
        <v>51</v>
      </c>
      <c r="C387" s="5" t="s">
        <v>205</v>
      </c>
      <c r="D387" s="5" t="s">
        <v>78</v>
      </c>
      <c r="E387" s="5" t="s">
        <v>132</v>
      </c>
      <c r="F387" s="5" t="s">
        <v>63</v>
      </c>
      <c r="G387" s="14">
        <v>40845</v>
      </c>
      <c r="H387" s="5">
        <v>100356090</v>
      </c>
      <c r="I387" s="14">
        <v>40888</v>
      </c>
      <c r="J387" s="5">
        <v>6452</v>
      </c>
      <c r="K387" s="15">
        <v>47.45</v>
      </c>
      <c r="L387" s="15">
        <v>31.79</v>
      </c>
      <c r="M387" s="15">
        <v>306147.40000000002</v>
      </c>
      <c r="N387" s="15">
        <v>205109.08</v>
      </c>
      <c r="O387" s="16">
        <v>101038.32000000004</v>
      </c>
    </row>
    <row r="388" spans="2:15" ht="18.75" hidden="1" x14ac:dyDescent="0.25">
      <c r="B388" s="4" t="s">
        <v>81</v>
      </c>
      <c r="C388" s="5" t="s">
        <v>247</v>
      </c>
      <c r="D388" s="5" t="s">
        <v>53</v>
      </c>
      <c r="E388" s="5" t="s">
        <v>132</v>
      </c>
      <c r="F388" s="5" t="s">
        <v>55</v>
      </c>
      <c r="G388" s="14">
        <v>41983</v>
      </c>
      <c r="H388" s="5">
        <v>100356519</v>
      </c>
      <c r="I388" s="14">
        <v>42022</v>
      </c>
      <c r="J388" s="5">
        <v>6579</v>
      </c>
      <c r="K388" s="15">
        <v>9.33</v>
      </c>
      <c r="L388" s="15">
        <v>6.92</v>
      </c>
      <c r="M388" s="15">
        <v>61382.07</v>
      </c>
      <c r="N388" s="15">
        <v>45526.68</v>
      </c>
      <c r="O388" s="16">
        <v>15855.39</v>
      </c>
    </row>
    <row r="389" spans="2:15" ht="18.75" hidden="1" x14ac:dyDescent="0.25">
      <c r="B389" s="4" t="s">
        <v>72</v>
      </c>
      <c r="C389" s="5" t="s">
        <v>223</v>
      </c>
      <c r="D389" s="5" t="s">
        <v>58</v>
      </c>
      <c r="E389" s="5" t="s">
        <v>132</v>
      </c>
      <c r="F389" s="5" t="s">
        <v>70</v>
      </c>
      <c r="G389" s="14">
        <v>40298</v>
      </c>
      <c r="H389" s="5">
        <v>100357377</v>
      </c>
      <c r="I389" s="14">
        <v>40328</v>
      </c>
      <c r="J389" s="5">
        <v>6833</v>
      </c>
      <c r="K389" s="15">
        <v>255.28</v>
      </c>
      <c r="L389" s="15">
        <v>159.41999999999999</v>
      </c>
      <c r="M389" s="15">
        <v>1744328.24</v>
      </c>
      <c r="N389" s="15">
        <v>1089316.8599999999</v>
      </c>
      <c r="O389" s="16">
        <v>655011.38000000012</v>
      </c>
    </row>
    <row r="390" spans="2:15" ht="18.75" hidden="1" x14ac:dyDescent="0.25">
      <c r="B390" s="4" t="s">
        <v>56</v>
      </c>
      <c r="C390" s="5" t="s">
        <v>92</v>
      </c>
      <c r="D390" s="5" t="s">
        <v>65</v>
      </c>
      <c r="E390" s="5" t="s">
        <v>132</v>
      </c>
      <c r="F390" s="5" t="s">
        <v>70</v>
      </c>
      <c r="G390" s="14">
        <v>41436</v>
      </c>
      <c r="H390" s="5">
        <v>100357806</v>
      </c>
      <c r="I390" s="14">
        <v>41462</v>
      </c>
      <c r="J390" s="5">
        <v>6960</v>
      </c>
      <c r="K390" s="15">
        <v>651.21</v>
      </c>
      <c r="L390" s="15">
        <v>524.96</v>
      </c>
      <c r="M390" s="15">
        <v>4532421.6000000006</v>
      </c>
      <c r="N390" s="15">
        <v>3653721.6</v>
      </c>
      <c r="O390" s="16">
        <v>878700.00000000047</v>
      </c>
    </row>
    <row r="391" spans="2:15" ht="18.75" hidden="1" x14ac:dyDescent="0.25">
      <c r="B391" s="4" t="s">
        <v>56</v>
      </c>
      <c r="C391" s="5" t="s">
        <v>207</v>
      </c>
      <c r="D391" s="5" t="s">
        <v>76</v>
      </c>
      <c r="E391" s="5" t="s">
        <v>132</v>
      </c>
      <c r="F391" s="5" t="s">
        <v>63</v>
      </c>
      <c r="G391" s="14">
        <v>40889</v>
      </c>
      <c r="H391" s="5">
        <v>100359094</v>
      </c>
      <c r="I391" s="14">
        <v>40902</v>
      </c>
      <c r="J391" s="5">
        <v>7341</v>
      </c>
      <c r="K391" s="15">
        <v>421.89</v>
      </c>
      <c r="L391" s="15">
        <v>364.69</v>
      </c>
      <c r="M391" s="15">
        <v>3097094.4899999998</v>
      </c>
      <c r="N391" s="15">
        <v>2677189.29</v>
      </c>
      <c r="O391" s="16">
        <v>419905.19999999972</v>
      </c>
    </row>
    <row r="392" spans="2:15" ht="18.75" hidden="1" x14ac:dyDescent="0.25">
      <c r="B392" s="4" t="s">
        <v>60</v>
      </c>
      <c r="C392" s="5" t="s">
        <v>248</v>
      </c>
      <c r="D392" s="5" t="s">
        <v>80</v>
      </c>
      <c r="E392" s="5" t="s">
        <v>132</v>
      </c>
      <c r="F392" s="5" t="s">
        <v>70</v>
      </c>
      <c r="G392" s="14">
        <v>40342</v>
      </c>
      <c r="H392" s="5">
        <v>100360381</v>
      </c>
      <c r="I392" s="14">
        <v>40342</v>
      </c>
      <c r="J392" s="5">
        <v>7722</v>
      </c>
      <c r="K392" s="15">
        <v>668.27</v>
      </c>
      <c r="L392" s="15">
        <v>502.54</v>
      </c>
      <c r="M392" s="15">
        <v>5160380.9399999995</v>
      </c>
      <c r="N392" s="15">
        <v>3880613.8800000004</v>
      </c>
      <c r="O392" s="16">
        <v>1279767.0599999991</v>
      </c>
    </row>
    <row r="393" spans="2:15" ht="18.75" hidden="1" x14ac:dyDescent="0.25">
      <c r="B393" s="4" t="s">
        <v>51</v>
      </c>
      <c r="C393" s="5" t="s">
        <v>234</v>
      </c>
      <c r="D393" s="5" t="s">
        <v>58</v>
      </c>
      <c r="E393" s="5" t="s">
        <v>132</v>
      </c>
      <c r="F393" s="5" t="s">
        <v>70</v>
      </c>
      <c r="G393" s="14">
        <v>41479</v>
      </c>
      <c r="H393" s="5">
        <v>100360810</v>
      </c>
      <c r="I393" s="14">
        <v>41525</v>
      </c>
      <c r="J393" s="5">
        <v>7849</v>
      </c>
      <c r="K393" s="15">
        <v>255.28</v>
      </c>
      <c r="L393" s="15">
        <v>159.41999999999999</v>
      </c>
      <c r="M393" s="15">
        <v>2003692.72</v>
      </c>
      <c r="N393" s="15">
        <v>1251287.5799999998</v>
      </c>
      <c r="O393" s="16">
        <v>752405.14000000013</v>
      </c>
    </row>
    <row r="394" spans="2:15" ht="18.75" hidden="1" x14ac:dyDescent="0.25">
      <c r="B394" s="4" t="s">
        <v>72</v>
      </c>
      <c r="C394" s="5" t="s">
        <v>101</v>
      </c>
      <c r="D394" s="5" t="s">
        <v>53</v>
      </c>
      <c r="E394" s="5" t="s">
        <v>132</v>
      </c>
      <c r="F394" s="5" t="s">
        <v>70</v>
      </c>
      <c r="G394" s="14">
        <v>40385</v>
      </c>
      <c r="H394" s="5">
        <v>100363385</v>
      </c>
      <c r="I394" s="14">
        <v>40405</v>
      </c>
      <c r="J394" s="5">
        <v>8611</v>
      </c>
      <c r="K394" s="15">
        <v>9.33</v>
      </c>
      <c r="L394" s="15">
        <v>6.92</v>
      </c>
      <c r="M394" s="15">
        <v>80340.63</v>
      </c>
      <c r="N394" s="15">
        <v>59588.12</v>
      </c>
      <c r="O394" s="16">
        <v>20752.510000000002</v>
      </c>
    </row>
    <row r="395" spans="2:15" ht="18.75" hidden="1" x14ac:dyDescent="0.25">
      <c r="B395" s="4" t="s">
        <v>81</v>
      </c>
      <c r="C395" s="5" t="s">
        <v>102</v>
      </c>
      <c r="D395" s="5" t="s">
        <v>65</v>
      </c>
      <c r="E395" s="5" t="s">
        <v>132</v>
      </c>
      <c r="F395" s="5" t="s">
        <v>59</v>
      </c>
      <c r="G395" s="14">
        <v>43797</v>
      </c>
      <c r="H395" s="5">
        <v>100364673</v>
      </c>
      <c r="I395" s="14">
        <v>43804</v>
      </c>
      <c r="J395" s="5">
        <v>8992</v>
      </c>
      <c r="K395" s="15">
        <v>651.21</v>
      </c>
      <c r="L395" s="15">
        <v>524.96</v>
      </c>
      <c r="M395" s="15">
        <v>5855680.3200000003</v>
      </c>
      <c r="N395" s="15">
        <v>4720440.32</v>
      </c>
      <c r="O395" s="16">
        <v>1135240</v>
      </c>
    </row>
    <row r="396" spans="2:15" ht="18.75" hidden="1" x14ac:dyDescent="0.25">
      <c r="B396" s="4" t="s">
        <v>60</v>
      </c>
      <c r="C396" s="5" t="s">
        <v>224</v>
      </c>
      <c r="D396" s="5" t="s">
        <v>78</v>
      </c>
      <c r="E396" s="5" t="s">
        <v>132</v>
      </c>
      <c r="F396" s="5" t="s">
        <v>55</v>
      </c>
      <c r="G396" s="14">
        <v>40428</v>
      </c>
      <c r="H396" s="5">
        <v>100366389</v>
      </c>
      <c r="I396" s="14">
        <v>40469</v>
      </c>
      <c r="J396" s="5">
        <v>9500</v>
      </c>
      <c r="K396" s="15">
        <v>47.45</v>
      </c>
      <c r="L396" s="15">
        <v>31.79</v>
      </c>
      <c r="M396" s="15">
        <v>450775</v>
      </c>
      <c r="N396" s="15">
        <v>302005</v>
      </c>
      <c r="O396" s="16">
        <v>148770</v>
      </c>
    </row>
    <row r="397" spans="2:15" ht="18.75" hidden="1" x14ac:dyDescent="0.25">
      <c r="B397" s="4" t="s">
        <v>51</v>
      </c>
      <c r="C397" s="5" t="s">
        <v>195</v>
      </c>
      <c r="D397" s="5" t="s">
        <v>53</v>
      </c>
      <c r="E397" s="5" t="s">
        <v>132</v>
      </c>
      <c r="F397" s="5" t="s">
        <v>70</v>
      </c>
      <c r="G397" s="14">
        <v>41565</v>
      </c>
      <c r="H397" s="5">
        <v>100366818</v>
      </c>
      <c r="I397" s="14">
        <v>41601</v>
      </c>
      <c r="J397" s="5">
        <v>9627</v>
      </c>
      <c r="K397" s="15">
        <v>9.33</v>
      </c>
      <c r="L397" s="15">
        <v>6.92</v>
      </c>
      <c r="M397" s="15">
        <v>89819.91</v>
      </c>
      <c r="N397" s="15">
        <v>66618.84</v>
      </c>
      <c r="O397" s="16">
        <v>23201.070000000007</v>
      </c>
    </row>
    <row r="398" spans="2:15" ht="18.75" hidden="1" x14ac:dyDescent="0.25">
      <c r="B398" s="4" t="s">
        <v>81</v>
      </c>
      <c r="C398" s="5" t="s">
        <v>211</v>
      </c>
      <c r="D398" s="5" t="s">
        <v>80</v>
      </c>
      <c r="E398" s="5" t="s">
        <v>132</v>
      </c>
      <c r="F398" s="5" t="s">
        <v>70</v>
      </c>
      <c r="G398" s="14">
        <v>42702</v>
      </c>
      <c r="H398" s="5">
        <v>100367248</v>
      </c>
      <c r="I398" s="14">
        <v>42734</v>
      </c>
      <c r="J398" s="5">
        <v>9754</v>
      </c>
      <c r="K398" s="15">
        <v>668.27</v>
      </c>
      <c r="L398" s="15">
        <v>502.54</v>
      </c>
      <c r="M398" s="15">
        <v>6518305.5800000001</v>
      </c>
      <c r="N398" s="15">
        <v>4901775.16</v>
      </c>
      <c r="O398" s="16">
        <v>1616530.42</v>
      </c>
    </row>
    <row r="399" spans="2:15" ht="18.75" hidden="1" x14ac:dyDescent="0.25">
      <c r="B399" s="4" t="s">
        <v>56</v>
      </c>
      <c r="C399" s="5" t="s">
        <v>105</v>
      </c>
      <c r="D399" s="5" t="s">
        <v>68</v>
      </c>
      <c r="E399" s="5" t="s">
        <v>132</v>
      </c>
      <c r="F399" s="5" t="s">
        <v>63</v>
      </c>
      <c r="G399" s="14">
        <v>42155</v>
      </c>
      <c r="H399" s="5">
        <v>100368535</v>
      </c>
      <c r="I399" s="14">
        <v>42174</v>
      </c>
      <c r="J399" s="5">
        <v>135</v>
      </c>
      <c r="K399" s="15">
        <v>109.28</v>
      </c>
      <c r="L399" s="15">
        <v>35.840000000000003</v>
      </c>
      <c r="M399" s="15">
        <v>14752.8</v>
      </c>
      <c r="N399" s="15">
        <v>4838.4000000000005</v>
      </c>
      <c r="O399" s="16">
        <v>9914.3999999999978</v>
      </c>
    </row>
    <row r="400" spans="2:15" ht="18.75" hidden="1" x14ac:dyDescent="0.25">
      <c r="B400" s="4" t="s">
        <v>51</v>
      </c>
      <c r="C400" s="5" t="s">
        <v>236</v>
      </c>
      <c r="D400" s="5" t="s">
        <v>62</v>
      </c>
      <c r="E400" s="5" t="s">
        <v>132</v>
      </c>
      <c r="F400" s="5" t="s">
        <v>55</v>
      </c>
      <c r="G400" s="14">
        <v>43293</v>
      </c>
      <c r="H400" s="5">
        <v>100368964</v>
      </c>
      <c r="I400" s="14">
        <v>43308</v>
      </c>
      <c r="J400" s="5">
        <v>262</v>
      </c>
      <c r="K400" s="15">
        <v>437.2</v>
      </c>
      <c r="L400" s="15">
        <v>263.33</v>
      </c>
      <c r="M400" s="15">
        <v>114546.4</v>
      </c>
      <c r="N400" s="15">
        <v>68992.459999999992</v>
      </c>
      <c r="O400" s="16">
        <v>45553.94</v>
      </c>
    </row>
    <row r="401" spans="2:15" ht="18.75" hidden="1" x14ac:dyDescent="0.25">
      <c r="B401" s="4" t="s">
        <v>51</v>
      </c>
      <c r="C401" s="5" t="s">
        <v>107</v>
      </c>
      <c r="D401" s="5" t="s">
        <v>53</v>
      </c>
      <c r="E401" s="5" t="s">
        <v>132</v>
      </c>
      <c r="F401" s="5" t="s">
        <v>70</v>
      </c>
      <c r="G401" s="14">
        <v>42746</v>
      </c>
      <c r="H401" s="5">
        <v>100370252</v>
      </c>
      <c r="I401" s="14">
        <v>42748</v>
      </c>
      <c r="J401" s="5">
        <v>643</v>
      </c>
      <c r="K401" s="15">
        <v>9.33</v>
      </c>
      <c r="L401" s="15">
        <v>6.92</v>
      </c>
      <c r="M401" s="15">
        <v>5999.19</v>
      </c>
      <c r="N401" s="15">
        <v>4449.5600000000004</v>
      </c>
      <c r="O401" s="16">
        <v>1549.6299999999992</v>
      </c>
    </row>
    <row r="402" spans="2:15" ht="18.75" hidden="1" x14ac:dyDescent="0.25">
      <c r="B402" s="4" t="s">
        <v>60</v>
      </c>
      <c r="C402" s="5" t="s">
        <v>213</v>
      </c>
      <c r="D402" s="5" t="s">
        <v>58</v>
      </c>
      <c r="E402" s="5" t="s">
        <v>132</v>
      </c>
      <c r="F402" s="5" t="s">
        <v>59</v>
      </c>
      <c r="G402" s="14">
        <v>41061</v>
      </c>
      <c r="H402" s="5">
        <v>100371110</v>
      </c>
      <c r="I402" s="14">
        <v>41105</v>
      </c>
      <c r="J402" s="5">
        <v>897</v>
      </c>
      <c r="K402" s="15">
        <v>255.28</v>
      </c>
      <c r="L402" s="15">
        <v>159.41999999999999</v>
      </c>
      <c r="M402" s="15">
        <v>228986.16</v>
      </c>
      <c r="N402" s="15">
        <v>142999.74</v>
      </c>
      <c r="O402" s="16">
        <v>85986.420000000013</v>
      </c>
    </row>
    <row r="403" spans="2:15" ht="18.75" hidden="1" x14ac:dyDescent="0.25">
      <c r="B403" s="4" t="s">
        <v>74</v>
      </c>
      <c r="C403" s="5" t="s">
        <v>249</v>
      </c>
      <c r="D403" s="5" t="s">
        <v>62</v>
      </c>
      <c r="E403" s="5" t="s">
        <v>132</v>
      </c>
      <c r="F403" s="5" t="s">
        <v>55</v>
      </c>
      <c r="G403" s="14">
        <v>40514</v>
      </c>
      <c r="H403" s="5">
        <v>100372397</v>
      </c>
      <c r="I403" s="14">
        <v>40545</v>
      </c>
      <c r="J403" s="5">
        <v>1278</v>
      </c>
      <c r="K403" s="15">
        <v>437.2</v>
      </c>
      <c r="L403" s="15">
        <v>263.33</v>
      </c>
      <c r="M403" s="15">
        <v>558741.6</v>
      </c>
      <c r="N403" s="15">
        <v>336535.74</v>
      </c>
      <c r="O403" s="16">
        <v>222205.86</v>
      </c>
    </row>
    <row r="404" spans="2:15" ht="18.75" hidden="1" x14ac:dyDescent="0.25">
      <c r="B404" s="4" t="s">
        <v>72</v>
      </c>
      <c r="C404" s="5" t="s">
        <v>214</v>
      </c>
      <c r="D404" s="5" t="s">
        <v>76</v>
      </c>
      <c r="E404" s="5" t="s">
        <v>132</v>
      </c>
      <c r="F404" s="5" t="s">
        <v>70</v>
      </c>
      <c r="G404" s="14">
        <v>41652</v>
      </c>
      <c r="H404" s="5">
        <v>100372827</v>
      </c>
      <c r="I404" s="14">
        <v>41678</v>
      </c>
      <c r="J404" s="5">
        <v>1405</v>
      </c>
      <c r="K404" s="15">
        <v>421.89</v>
      </c>
      <c r="L404" s="15">
        <v>364.69</v>
      </c>
      <c r="M404" s="15">
        <v>592755.44999999995</v>
      </c>
      <c r="N404" s="15">
        <v>512389.45</v>
      </c>
      <c r="O404" s="16">
        <v>80365.999999999942</v>
      </c>
    </row>
    <row r="405" spans="2:15" ht="18.75" hidden="1" x14ac:dyDescent="0.25">
      <c r="B405" s="4" t="s">
        <v>81</v>
      </c>
      <c r="C405" s="5" t="s">
        <v>158</v>
      </c>
      <c r="D405" s="5" t="s">
        <v>78</v>
      </c>
      <c r="E405" s="5" t="s">
        <v>132</v>
      </c>
      <c r="F405" s="5" t="s">
        <v>70</v>
      </c>
      <c r="G405" s="14">
        <v>42789</v>
      </c>
      <c r="H405" s="5">
        <v>100373256</v>
      </c>
      <c r="I405" s="14">
        <v>42811</v>
      </c>
      <c r="J405" s="5">
        <v>1532</v>
      </c>
      <c r="K405" s="15">
        <v>47.45</v>
      </c>
      <c r="L405" s="15">
        <v>31.79</v>
      </c>
      <c r="M405" s="15">
        <v>72693.400000000009</v>
      </c>
      <c r="N405" s="15">
        <v>48702.28</v>
      </c>
      <c r="O405" s="16">
        <v>23991.12000000001</v>
      </c>
    </row>
    <row r="406" spans="2:15" ht="18.75" hidden="1" x14ac:dyDescent="0.25">
      <c r="B406" s="4" t="s">
        <v>72</v>
      </c>
      <c r="C406" s="5" t="s">
        <v>198</v>
      </c>
      <c r="D406" s="5" t="s">
        <v>80</v>
      </c>
      <c r="E406" s="5" t="s">
        <v>132</v>
      </c>
      <c r="F406" s="5" t="s">
        <v>59</v>
      </c>
      <c r="G406" s="14">
        <v>41104</v>
      </c>
      <c r="H406" s="5">
        <v>100374114</v>
      </c>
      <c r="I406" s="14">
        <v>41117</v>
      </c>
      <c r="J406" s="5">
        <v>1786</v>
      </c>
      <c r="K406" s="15">
        <v>668.27</v>
      </c>
      <c r="L406" s="15">
        <v>502.54</v>
      </c>
      <c r="M406" s="15">
        <v>1193530.22</v>
      </c>
      <c r="N406" s="15">
        <v>897536.44000000006</v>
      </c>
      <c r="O406" s="16">
        <v>295993.77999999991</v>
      </c>
    </row>
    <row r="407" spans="2:15" ht="18.75" hidden="1" x14ac:dyDescent="0.25">
      <c r="B407" s="4" t="s">
        <v>51</v>
      </c>
      <c r="C407" s="5" t="s">
        <v>160</v>
      </c>
      <c r="D407" s="5" t="s">
        <v>65</v>
      </c>
      <c r="E407" s="5" t="s">
        <v>132</v>
      </c>
      <c r="F407" s="5" t="s">
        <v>63</v>
      </c>
      <c r="G407" s="14">
        <v>43379</v>
      </c>
      <c r="H407" s="5">
        <v>100374972</v>
      </c>
      <c r="I407" s="14">
        <v>43384</v>
      </c>
      <c r="J407" s="5">
        <v>2040</v>
      </c>
      <c r="K407" s="15">
        <v>651.21</v>
      </c>
      <c r="L407" s="15">
        <v>524.96</v>
      </c>
      <c r="M407" s="15">
        <v>1328468.4000000001</v>
      </c>
      <c r="N407" s="15">
        <v>1070918.4000000001</v>
      </c>
      <c r="O407" s="16">
        <v>257550</v>
      </c>
    </row>
    <row r="408" spans="2:15" ht="18.75" hidden="1" x14ac:dyDescent="0.25">
      <c r="B408" s="4" t="s">
        <v>60</v>
      </c>
      <c r="C408" s="5" t="s">
        <v>200</v>
      </c>
      <c r="D408" s="5" t="s">
        <v>62</v>
      </c>
      <c r="E408" s="5" t="s">
        <v>132</v>
      </c>
      <c r="F408" s="5" t="s">
        <v>55</v>
      </c>
      <c r="G408" s="14">
        <v>41695</v>
      </c>
      <c r="H408" s="5">
        <v>100375831</v>
      </c>
      <c r="I408" s="14">
        <v>41742</v>
      </c>
      <c r="J408" s="5">
        <v>2294</v>
      </c>
      <c r="K408" s="15">
        <v>437.2</v>
      </c>
      <c r="L408" s="15">
        <v>263.33</v>
      </c>
      <c r="M408" s="15">
        <v>1002936.7999999999</v>
      </c>
      <c r="N408" s="15">
        <v>604079.02</v>
      </c>
      <c r="O408" s="16">
        <v>398857.77999999991</v>
      </c>
    </row>
    <row r="409" spans="2:15" ht="18.75" hidden="1" x14ac:dyDescent="0.25">
      <c r="B409" s="4" t="s">
        <v>60</v>
      </c>
      <c r="C409" s="5" t="s">
        <v>217</v>
      </c>
      <c r="D409" s="5" t="s">
        <v>96</v>
      </c>
      <c r="E409" s="5" t="s">
        <v>132</v>
      </c>
      <c r="F409" s="5" t="s">
        <v>59</v>
      </c>
      <c r="G409" s="14">
        <v>41148</v>
      </c>
      <c r="H409" s="5">
        <v>100377118</v>
      </c>
      <c r="I409" s="14">
        <v>41182</v>
      </c>
      <c r="J409" s="5">
        <v>2675</v>
      </c>
      <c r="K409" s="15">
        <v>154.06</v>
      </c>
      <c r="L409" s="15">
        <v>90.93</v>
      </c>
      <c r="M409" s="15">
        <v>412110.5</v>
      </c>
      <c r="N409" s="15">
        <v>243237.75000000003</v>
      </c>
      <c r="O409" s="16">
        <v>168872.74999999997</v>
      </c>
    </row>
    <row r="410" spans="2:15" ht="18.75" hidden="1" x14ac:dyDescent="0.25">
      <c r="B410" s="4" t="s">
        <v>74</v>
      </c>
      <c r="C410" s="5" t="s">
        <v>162</v>
      </c>
      <c r="D410" s="5" t="s">
        <v>65</v>
      </c>
      <c r="E410" s="5" t="s">
        <v>132</v>
      </c>
      <c r="F410" s="5" t="s">
        <v>55</v>
      </c>
      <c r="G410" s="14">
        <v>40601</v>
      </c>
      <c r="H410" s="5">
        <v>100378406</v>
      </c>
      <c r="I410" s="14">
        <v>40622</v>
      </c>
      <c r="J410" s="5">
        <v>3056</v>
      </c>
      <c r="K410" s="15">
        <v>651.21</v>
      </c>
      <c r="L410" s="15">
        <v>524.96</v>
      </c>
      <c r="M410" s="15">
        <v>1990097.76</v>
      </c>
      <c r="N410" s="15">
        <v>1604277.76</v>
      </c>
      <c r="O410" s="16">
        <v>385820</v>
      </c>
    </row>
    <row r="411" spans="2:15" ht="18.75" hidden="1" x14ac:dyDescent="0.25">
      <c r="B411" s="4" t="s">
        <v>72</v>
      </c>
      <c r="C411" s="5" t="s">
        <v>250</v>
      </c>
      <c r="D411" s="5" t="s">
        <v>88</v>
      </c>
      <c r="E411" s="5" t="s">
        <v>132</v>
      </c>
      <c r="F411" s="5" t="s">
        <v>55</v>
      </c>
      <c r="G411" s="14">
        <v>41738</v>
      </c>
      <c r="H411" s="5">
        <v>100378835</v>
      </c>
      <c r="I411" s="14">
        <v>41754</v>
      </c>
      <c r="J411" s="5">
        <v>3183</v>
      </c>
      <c r="K411" s="15">
        <v>152.58000000000001</v>
      </c>
      <c r="L411" s="15">
        <v>97.44</v>
      </c>
      <c r="M411" s="15">
        <v>485662.14</v>
      </c>
      <c r="N411" s="15">
        <v>310151.52</v>
      </c>
      <c r="O411" s="16">
        <v>175510.62</v>
      </c>
    </row>
    <row r="412" spans="2:15" ht="18.75" hidden="1" x14ac:dyDescent="0.25">
      <c r="B412" s="4" t="s">
        <v>51</v>
      </c>
      <c r="C412" s="5" t="s">
        <v>251</v>
      </c>
      <c r="D412" s="5" t="s">
        <v>93</v>
      </c>
      <c r="E412" s="5" t="s">
        <v>132</v>
      </c>
      <c r="F412" s="5" t="s">
        <v>70</v>
      </c>
      <c r="G412" s="14">
        <v>44012</v>
      </c>
      <c r="H412" s="5">
        <v>100379693</v>
      </c>
      <c r="I412" s="14">
        <v>44020</v>
      </c>
      <c r="J412" s="5">
        <v>3437</v>
      </c>
      <c r="K412" s="15">
        <v>81.73</v>
      </c>
      <c r="L412" s="15">
        <v>56.67</v>
      </c>
      <c r="M412" s="15">
        <v>280906.01</v>
      </c>
      <c r="N412" s="15">
        <v>194774.79</v>
      </c>
      <c r="O412" s="16">
        <v>86131.22</v>
      </c>
    </row>
    <row r="413" spans="2:15" ht="18.75" hidden="1" x14ac:dyDescent="0.25">
      <c r="B413" s="4" t="s">
        <v>51</v>
      </c>
      <c r="C413" s="5" t="s">
        <v>230</v>
      </c>
      <c r="D413" s="5" t="s">
        <v>80</v>
      </c>
      <c r="E413" s="5" t="s">
        <v>132</v>
      </c>
      <c r="F413" s="5" t="s">
        <v>63</v>
      </c>
      <c r="G413" s="14">
        <v>43465</v>
      </c>
      <c r="H413" s="5">
        <v>100380980</v>
      </c>
      <c r="I413" s="14">
        <v>43511</v>
      </c>
      <c r="J413" s="5">
        <v>3818</v>
      </c>
      <c r="K413" s="15">
        <v>668.27</v>
      </c>
      <c r="L413" s="15">
        <v>502.54</v>
      </c>
      <c r="M413" s="15">
        <v>2551454.86</v>
      </c>
      <c r="N413" s="15">
        <v>1918697.72</v>
      </c>
      <c r="O413" s="16">
        <v>632757.1399999999</v>
      </c>
    </row>
    <row r="414" spans="2:15" ht="18.75" hidden="1" x14ac:dyDescent="0.25">
      <c r="B414" s="4" t="s">
        <v>60</v>
      </c>
      <c r="C414" s="5" t="s">
        <v>252</v>
      </c>
      <c r="D414" s="5" t="s">
        <v>65</v>
      </c>
      <c r="E414" s="5" t="s">
        <v>132</v>
      </c>
      <c r="F414" s="5" t="s">
        <v>55</v>
      </c>
      <c r="G414" s="14">
        <v>41781</v>
      </c>
      <c r="H414" s="5">
        <v>100381839</v>
      </c>
      <c r="I414" s="14">
        <v>41818</v>
      </c>
      <c r="J414" s="5">
        <v>4072</v>
      </c>
      <c r="K414" s="15">
        <v>651.21</v>
      </c>
      <c r="L414" s="15">
        <v>524.96</v>
      </c>
      <c r="M414" s="15">
        <v>2651727.12</v>
      </c>
      <c r="N414" s="15">
        <v>2137637.12</v>
      </c>
      <c r="O414" s="16">
        <v>514090</v>
      </c>
    </row>
    <row r="415" spans="2:15" ht="18.75" x14ac:dyDescent="0.25">
      <c r="B415" s="4" t="s">
        <v>81</v>
      </c>
      <c r="C415" s="5" t="s">
        <v>231</v>
      </c>
      <c r="D415" s="5" t="s">
        <v>62</v>
      </c>
      <c r="E415" s="5" t="s">
        <v>132</v>
      </c>
      <c r="F415" s="5" t="s">
        <v>70</v>
      </c>
      <c r="G415" s="14">
        <v>44056</v>
      </c>
      <c r="H415" s="5">
        <v>100382697</v>
      </c>
      <c r="I415" s="14">
        <v>44084</v>
      </c>
      <c r="J415" s="5">
        <v>4326</v>
      </c>
      <c r="K415" s="15">
        <v>437.2</v>
      </c>
      <c r="L415" s="15">
        <v>263.33</v>
      </c>
      <c r="M415" s="15">
        <v>1891327.2</v>
      </c>
      <c r="N415" s="15">
        <v>1139165.5799999998</v>
      </c>
      <c r="O415" s="16">
        <v>752161.62000000011</v>
      </c>
    </row>
    <row r="416" spans="2:15" ht="18.75" hidden="1" x14ac:dyDescent="0.25">
      <c r="B416" s="4" t="s">
        <v>74</v>
      </c>
      <c r="C416" s="5" t="s">
        <v>123</v>
      </c>
      <c r="D416" s="5" t="s">
        <v>93</v>
      </c>
      <c r="E416" s="5" t="s">
        <v>132</v>
      </c>
      <c r="F416" s="5" t="s">
        <v>59</v>
      </c>
      <c r="G416" s="14">
        <v>41234</v>
      </c>
      <c r="H416" s="5">
        <v>100383126</v>
      </c>
      <c r="I416" s="14">
        <v>41258</v>
      </c>
      <c r="J416" s="5">
        <v>4453</v>
      </c>
      <c r="K416" s="15">
        <v>81.73</v>
      </c>
      <c r="L416" s="15">
        <v>56.67</v>
      </c>
      <c r="M416" s="15">
        <v>363943.69</v>
      </c>
      <c r="N416" s="15">
        <v>252351.51</v>
      </c>
      <c r="O416" s="16">
        <v>111592.18</v>
      </c>
    </row>
    <row r="417" spans="2:15" ht="18.75" hidden="1" x14ac:dyDescent="0.25">
      <c r="B417" s="4" t="s">
        <v>66</v>
      </c>
      <c r="C417" s="5" t="s">
        <v>167</v>
      </c>
      <c r="D417" s="5" t="s">
        <v>100</v>
      </c>
      <c r="E417" s="5" t="s">
        <v>132</v>
      </c>
      <c r="F417" s="5" t="s">
        <v>55</v>
      </c>
      <c r="G417" s="14">
        <v>41824</v>
      </c>
      <c r="H417" s="5">
        <v>100384843</v>
      </c>
      <c r="I417" s="14">
        <v>41830</v>
      </c>
      <c r="J417" s="5">
        <v>4961</v>
      </c>
      <c r="K417" s="15">
        <v>205.7</v>
      </c>
      <c r="L417" s="15">
        <v>117.11</v>
      </c>
      <c r="M417" s="15">
        <v>1020477.7</v>
      </c>
      <c r="N417" s="15">
        <v>580982.71</v>
      </c>
      <c r="O417" s="16">
        <v>439494.99</v>
      </c>
    </row>
    <row r="418" spans="2:15" ht="18.75" hidden="1" x14ac:dyDescent="0.25">
      <c r="B418" s="4" t="s">
        <v>81</v>
      </c>
      <c r="C418" s="5" t="s">
        <v>169</v>
      </c>
      <c r="D418" s="5" t="s">
        <v>62</v>
      </c>
      <c r="E418" s="5" t="s">
        <v>132</v>
      </c>
      <c r="F418" s="5" t="s">
        <v>70</v>
      </c>
      <c r="G418" s="14">
        <v>41277</v>
      </c>
      <c r="H418" s="5">
        <v>100386130</v>
      </c>
      <c r="I418" s="14">
        <v>41321</v>
      </c>
      <c r="J418" s="5">
        <v>5342</v>
      </c>
      <c r="K418" s="15">
        <v>437.2</v>
      </c>
      <c r="L418" s="15">
        <v>263.33</v>
      </c>
      <c r="M418" s="15">
        <v>2335522.4</v>
      </c>
      <c r="N418" s="15">
        <v>1406708.8599999999</v>
      </c>
      <c r="O418" s="16">
        <v>928813.54</v>
      </c>
    </row>
    <row r="419" spans="2:15" ht="18.75" hidden="1" x14ac:dyDescent="0.25">
      <c r="B419" s="4" t="s">
        <v>60</v>
      </c>
      <c r="C419" s="5" t="s">
        <v>127</v>
      </c>
      <c r="D419" s="5" t="s">
        <v>93</v>
      </c>
      <c r="E419" s="5" t="s">
        <v>132</v>
      </c>
      <c r="F419" s="5" t="s">
        <v>59</v>
      </c>
      <c r="G419" s="14">
        <v>42414</v>
      </c>
      <c r="H419" s="5">
        <v>100386559</v>
      </c>
      <c r="I419" s="14">
        <v>42454</v>
      </c>
      <c r="J419" s="5">
        <v>5469</v>
      </c>
      <c r="K419" s="15">
        <v>81.73</v>
      </c>
      <c r="L419" s="15">
        <v>56.67</v>
      </c>
      <c r="M419" s="15">
        <v>446981.37</v>
      </c>
      <c r="N419" s="15">
        <v>309928.23</v>
      </c>
      <c r="O419" s="16">
        <v>137053.14000000001</v>
      </c>
    </row>
    <row r="420" spans="2:15" ht="18.75" hidden="1" x14ac:dyDescent="0.25">
      <c r="B420" s="4" t="s">
        <v>51</v>
      </c>
      <c r="C420" s="5" t="s">
        <v>170</v>
      </c>
      <c r="D420" s="5" t="s">
        <v>78</v>
      </c>
      <c r="E420" s="5" t="s">
        <v>132</v>
      </c>
      <c r="F420" s="5" t="s">
        <v>59</v>
      </c>
      <c r="G420" s="14">
        <v>43552</v>
      </c>
      <c r="H420" s="5">
        <v>100386989</v>
      </c>
      <c r="I420" s="14">
        <v>43588</v>
      </c>
      <c r="J420" s="5">
        <v>5596</v>
      </c>
      <c r="K420" s="15">
        <v>47.45</v>
      </c>
      <c r="L420" s="15">
        <v>31.79</v>
      </c>
      <c r="M420" s="15">
        <v>265530.2</v>
      </c>
      <c r="N420" s="15">
        <v>177896.84</v>
      </c>
      <c r="O420" s="16">
        <v>87633.360000000015</v>
      </c>
    </row>
    <row r="421" spans="2:15" ht="18.75" hidden="1" x14ac:dyDescent="0.25">
      <c r="B421" s="4" t="s">
        <v>60</v>
      </c>
      <c r="C421" s="5" t="s">
        <v>172</v>
      </c>
      <c r="D421" s="5" t="s">
        <v>80</v>
      </c>
      <c r="E421" s="5" t="s">
        <v>132</v>
      </c>
      <c r="F421" s="5" t="s">
        <v>55</v>
      </c>
      <c r="G421" s="14">
        <v>41867</v>
      </c>
      <c r="H421" s="5">
        <v>100387847</v>
      </c>
      <c r="I421" s="14">
        <v>41894</v>
      </c>
      <c r="J421" s="5">
        <v>5850</v>
      </c>
      <c r="K421" s="15">
        <v>668.27</v>
      </c>
      <c r="L421" s="15">
        <v>502.54</v>
      </c>
      <c r="M421" s="15">
        <v>3909379.5</v>
      </c>
      <c r="N421" s="15">
        <v>2939859</v>
      </c>
      <c r="O421" s="16">
        <v>969520.5</v>
      </c>
    </row>
    <row r="422" spans="2:15" ht="18.75" hidden="1" x14ac:dyDescent="0.25">
      <c r="B422" s="4" t="s">
        <v>81</v>
      </c>
      <c r="C422" s="5" t="s">
        <v>133</v>
      </c>
      <c r="D422" s="5" t="s">
        <v>65</v>
      </c>
      <c r="E422" s="5" t="s">
        <v>132</v>
      </c>
      <c r="F422" s="5" t="s">
        <v>70</v>
      </c>
      <c r="G422" s="14">
        <v>40183</v>
      </c>
      <c r="H422" s="5">
        <v>100388705</v>
      </c>
      <c r="I422" s="14">
        <v>40201</v>
      </c>
      <c r="J422" s="5">
        <v>6104</v>
      </c>
      <c r="K422" s="15">
        <v>651.21</v>
      </c>
      <c r="L422" s="15">
        <v>524.96</v>
      </c>
      <c r="M422" s="15">
        <v>3974985.8400000003</v>
      </c>
      <c r="N422" s="15">
        <v>3204355.8400000003</v>
      </c>
      <c r="O422" s="16">
        <v>770630</v>
      </c>
    </row>
    <row r="423" spans="2:15" ht="18.75" hidden="1" x14ac:dyDescent="0.25">
      <c r="B423" s="4" t="s">
        <v>74</v>
      </c>
      <c r="C423" s="5" t="s">
        <v>220</v>
      </c>
      <c r="D423" s="5" t="s">
        <v>88</v>
      </c>
      <c r="E423" s="5" t="s">
        <v>132</v>
      </c>
      <c r="F423" s="5" t="s">
        <v>70</v>
      </c>
      <c r="G423" s="14">
        <v>41320</v>
      </c>
      <c r="H423" s="5">
        <v>100389134</v>
      </c>
      <c r="I423" s="14">
        <v>41334</v>
      </c>
      <c r="J423" s="5">
        <v>6231</v>
      </c>
      <c r="K423" s="15">
        <v>152.58000000000001</v>
      </c>
      <c r="L423" s="15">
        <v>97.44</v>
      </c>
      <c r="M423" s="15">
        <v>950725.9800000001</v>
      </c>
      <c r="N423" s="15">
        <v>607148.64</v>
      </c>
      <c r="O423" s="16">
        <v>343577.34000000008</v>
      </c>
    </row>
    <row r="424" spans="2:15" ht="18.75" hidden="1" x14ac:dyDescent="0.25">
      <c r="B424" s="4" t="s">
        <v>72</v>
      </c>
      <c r="C424" s="5" t="s">
        <v>173</v>
      </c>
      <c r="D424" s="5" t="s">
        <v>62</v>
      </c>
      <c r="E424" s="5" t="s">
        <v>54</v>
      </c>
      <c r="F424" s="5" t="s">
        <v>59</v>
      </c>
      <c r="G424" s="14">
        <v>42458</v>
      </c>
      <c r="H424" s="5">
        <v>100389564</v>
      </c>
      <c r="I424" s="14">
        <v>42468</v>
      </c>
      <c r="J424" s="5">
        <v>6358</v>
      </c>
      <c r="K424" s="15">
        <v>437.2</v>
      </c>
      <c r="L424" s="15">
        <v>263.33</v>
      </c>
      <c r="M424" s="15">
        <v>2779717.6</v>
      </c>
      <c r="N424" s="15">
        <v>1674252.14</v>
      </c>
      <c r="O424" s="16">
        <v>1105465.4600000002</v>
      </c>
    </row>
    <row r="425" spans="2:15" ht="18.75" hidden="1" x14ac:dyDescent="0.25">
      <c r="B425" s="4" t="s">
        <v>51</v>
      </c>
      <c r="C425" s="5" t="s">
        <v>136</v>
      </c>
      <c r="D425" s="5" t="s">
        <v>78</v>
      </c>
      <c r="E425" s="5" t="s">
        <v>54</v>
      </c>
      <c r="F425" s="5" t="s">
        <v>63</v>
      </c>
      <c r="G425" s="14">
        <v>40773</v>
      </c>
      <c r="H425" s="5">
        <v>100390422</v>
      </c>
      <c r="I425" s="14">
        <v>40774</v>
      </c>
      <c r="J425" s="5">
        <v>6612</v>
      </c>
      <c r="K425" s="15">
        <v>47.45</v>
      </c>
      <c r="L425" s="15">
        <v>31.79</v>
      </c>
      <c r="M425" s="15">
        <v>313739.40000000002</v>
      </c>
      <c r="N425" s="15">
        <v>210195.47999999998</v>
      </c>
      <c r="O425" s="16">
        <v>103543.92000000004</v>
      </c>
    </row>
    <row r="426" spans="2:15" ht="18.75" hidden="1" x14ac:dyDescent="0.25">
      <c r="B426" s="4" t="s">
        <v>72</v>
      </c>
      <c r="C426" s="5" t="s">
        <v>175</v>
      </c>
      <c r="D426" s="5" t="s">
        <v>96</v>
      </c>
      <c r="E426" s="5" t="s">
        <v>54</v>
      </c>
      <c r="F426" s="5" t="s">
        <v>55</v>
      </c>
      <c r="G426" s="14">
        <v>43091</v>
      </c>
      <c r="H426" s="5">
        <v>100394284</v>
      </c>
      <c r="I426" s="14">
        <v>43104</v>
      </c>
      <c r="J426" s="5">
        <v>7755</v>
      </c>
      <c r="K426" s="15">
        <v>154.06</v>
      </c>
      <c r="L426" s="15">
        <v>90.93</v>
      </c>
      <c r="M426" s="15">
        <v>1194735.3</v>
      </c>
      <c r="N426" s="15">
        <v>705162.15</v>
      </c>
      <c r="O426" s="16">
        <v>489573.15</v>
      </c>
    </row>
    <row r="427" spans="2:15" ht="18.75" hidden="1" x14ac:dyDescent="0.25">
      <c r="B427" s="4" t="s">
        <v>56</v>
      </c>
      <c r="C427" s="5" t="s">
        <v>239</v>
      </c>
      <c r="D427" s="5" t="s">
        <v>80</v>
      </c>
      <c r="E427" s="5" t="s">
        <v>54</v>
      </c>
      <c r="F427" s="5" t="s">
        <v>55</v>
      </c>
      <c r="G427" s="14">
        <v>40269</v>
      </c>
      <c r="H427" s="5">
        <v>100394713</v>
      </c>
      <c r="I427" s="14">
        <v>40277</v>
      </c>
      <c r="J427" s="5">
        <v>7882</v>
      </c>
      <c r="K427" s="15">
        <v>668.27</v>
      </c>
      <c r="L427" s="15">
        <v>502.54</v>
      </c>
      <c r="M427" s="15">
        <v>5267304.1399999997</v>
      </c>
      <c r="N427" s="15">
        <v>3961020.2800000003</v>
      </c>
      <c r="O427" s="16">
        <v>1306283.8599999994</v>
      </c>
    </row>
    <row r="428" spans="2:15" ht="18.75" hidden="1" x14ac:dyDescent="0.25">
      <c r="B428" s="4" t="s">
        <v>51</v>
      </c>
      <c r="C428" s="5" t="s">
        <v>52</v>
      </c>
      <c r="D428" s="5" t="s">
        <v>100</v>
      </c>
      <c r="E428" s="5" t="s">
        <v>54</v>
      </c>
      <c r="F428" s="5" t="s">
        <v>70</v>
      </c>
      <c r="G428" s="14">
        <v>41407</v>
      </c>
      <c r="H428" s="5">
        <v>100395143</v>
      </c>
      <c r="I428" s="14">
        <v>41411</v>
      </c>
      <c r="J428" s="5">
        <v>8009</v>
      </c>
      <c r="K428" s="15">
        <v>205.7</v>
      </c>
      <c r="L428" s="15">
        <v>117.11</v>
      </c>
      <c r="M428" s="15">
        <v>1647451.2999999998</v>
      </c>
      <c r="N428" s="15">
        <v>937933.99</v>
      </c>
      <c r="O428" s="16">
        <v>709517.30999999982</v>
      </c>
    </row>
    <row r="429" spans="2:15" ht="18.75" hidden="1" x14ac:dyDescent="0.25">
      <c r="B429" s="4" t="s">
        <v>81</v>
      </c>
      <c r="C429" s="5" t="s">
        <v>142</v>
      </c>
      <c r="D429" s="5" t="s">
        <v>76</v>
      </c>
      <c r="E429" s="5" t="s">
        <v>54</v>
      </c>
      <c r="F429" s="5" t="s">
        <v>70</v>
      </c>
      <c r="G429" s="14">
        <v>42544</v>
      </c>
      <c r="H429" s="5">
        <v>100395572</v>
      </c>
      <c r="I429" s="14">
        <v>42544</v>
      </c>
      <c r="J429" s="5">
        <v>8136</v>
      </c>
      <c r="K429" s="15">
        <v>421.89</v>
      </c>
      <c r="L429" s="15">
        <v>364.69</v>
      </c>
      <c r="M429" s="15">
        <v>3432497.04</v>
      </c>
      <c r="N429" s="15">
        <v>2967117.84</v>
      </c>
      <c r="O429" s="16">
        <v>465379.20000000019</v>
      </c>
    </row>
    <row r="430" spans="2:15" ht="18.75" hidden="1" x14ac:dyDescent="0.25">
      <c r="B430" s="4" t="s">
        <v>51</v>
      </c>
      <c r="C430" s="5" t="s">
        <v>177</v>
      </c>
      <c r="D430" s="5" t="s">
        <v>96</v>
      </c>
      <c r="E430" s="5" t="s">
        <v>54</v>
      </c>
      <c r="F430" s="5" t="s">
        <v>55</v>
      </c>
      <c r="G430" s="14">
        <v>40312</v>
      </c>
      <c r="H430" s="5">
        <v>100397717</v>
      </c>
      <c r="I430" s="14">
        <v>40341</v>
      </c>
      <c r="J430" s="5">
        <v>8771</v>
      </c>
      <c r="K430" s="15">
        <v>154.06</v>
      </c>
      <c r="L430" s="15">
        <v>90.93</v>
      </c>
      <c r="M430" s="15">
        <v>1351260.26</v>
      </c>
      <c r="N430" s="15">
        <v>797547.03</v>
      </c>
      <c r="O430" s="16">
        <v>553713.23</v>
      </c>
    </row>
    <row r="431" spans="2:15" ht="18.75" hidden="1" x14ac:dyDescent="0.25">
      <c r="B431" s="4" t="s">
        <v>74</v>
      </c>
      <c r="C431" s="5" t="s">
        <v>178</v>
      </c>
      <c r="D431" s="5" t="s">
        <v>100</v>
      </c>
      <c r="E431" s="5" t="s">
        <v>54</v>
      </c>
      <c r="F431" s="5" t="s">
        <v>70</v>
      </c>
      <c r="G431" s="14">
        <v>42587</v>
      </c>
      <c r="H431" s="5">
        <v>100398576</v>
      </c>
      <c r="I431" s="14">
        <v>42607</v>
      </c>
      <c r="J431" s="5">
        <v>9025</v>
      </c>
      <c r="K431" s="15">
        <v>205.7</v>
      </c>
      <c r="L431" s="15">
        <v>117.11</v>
      </c>
      <c r="M431" s="15">
        <v>1856442.5</v>
      </c>
      <c r="N431" s="15">
        <v>1056917.75</v>
      </c>
      <c r="O431" s="16">
        <v>799524.75</v>
      </c>
    </row>
    <row r="432" spans="2:15" ht="18.75" hidden="1" x14ac:dyDescent="0.25">
      <c r="B432" s="4" t="s">
        <v>72</v>
      </c>
      <c r="C432" s="5" t="s">
        <v>223</v>
      </c>
      <c r="D432" s="5" t="s">
        <v>76</v>
      </c>
      <c r="E432" s="5" t="s">
        <v>54</v>
      </c>
      <c r="F432" s="5" t="s">
        <v>59</v>
      </c>
      <c r="G432" s="14">
        <v>43724</v>
      </c>
      <c r="H432" s="5">
        <v>100399005</v>
      </c>
      <c r="I432" s="14">
        <v>43740</v>
      </c>
      <c r="J432" s="5">
        <v>9151</v>
      </c>
      <c r="K432" s="15">
        <v>421.89</v>
      </c>
      <c r="L432" s="15">
        <v>364.69</v>
      </c>
      <c r="M432" s="15">
        <v>3860715.3899999997</v>
      </c>
      <c r="N432" s="15">
        <v>3337278.19</v>
      </c>
      <c r="O432" s="16">
        <v>523437.19999999972</v>
      </c>
    </row>
    <row r="433" spans="2:15" ht="18.75" hidden="1" x14ac:dyDescent="0.25">
      <c r="B433" s="4" t="s">
        <v>66</v>
      </c>
      <c r="C433" s="5" t="s">
        <v>67</v>
      </c>
      <c r="D433" s="5" t="s">
        <v>93</v>
      </c>
      <c r="E433" s="5" t="s">
        <v>54</v>
      </c>
      <c r="F433" s="5" t="s">
        <v>63</v>
      </c>
      <c r="G433" s="14">
        <v>43177</v>
      </c>
      <c r="H433" s="5">
        <v>100400292</v>
      </c>
      <c r="I433" s="14">
        <v>43180</v>
      </c>
      <c r="J433" s="5">
        <v>9532</v>
      </c>
      <c r="K433" s="15">
        <v>81.73</v>
      </c>
      <c r="L433" s="15">
        <v>56.67</v>
      </c>
      <c r="M433" s="15">
        <v>779050.36</v>
      </c>
      <c r="N433" s="15">
        <v>540178.44000000006</v>
      </c>
      <c r="O433" s="16">
        <v>238871.91999999993</v>
      </c>
    </row>
    <row r="434" spans="2:15" ht="18.75" hidden="1" x14ac:dyDescent="0.25">
      <c r="B434" s="4" t="s">
        <v>51</v>
      </c>
      <c r="C434" s="5" t="s">
        <v>208</v>
      </c>
      <c r="D434" s="5" t="s">
        <v>96</v>
      </c>
      <c r="E434" s="5" t="s">
        <v>54</v>
      </c>
      <c r="F434" s="5" t="s">
        <v>55</v>
      </c>
      <c r="G434" s="14">
        <v>41493</v>
      </c>
      <c r="H434" s="5">
        <v>100401151</v>
      </c>
      <c r="I434" s="14">
        <v>41538</v>
      </c>
      <c r="J434" s="5">
        <v>9786</v>
      </c>
      <c r="K434" s="15">
        <v>154.06</v>
      </c>
      <c r="L434" s="15">
        <v>90.93</v>
      </c>
      <c r="M434" s="15">
        <v>1507631.16</v>
      </c>
      <c r="N434" s="15">
        <v>889840.9800000001</v>
      </c>
      <c r="O434" s="16">
        <v>617790.17999999982</v>
      </c>
    </row>
    <row r="435" spans="2:15" ht="18.75" hidden="1" x14ac:dyDescent="0.25">
      <c r="B435" s="4" t="s">
        <v>60</v>
      </c>
      <c r="C435" s="5" t="s">
        <v>69</v>
      </c>
      <c r="D435" s="5" t="s">
        <v>100</v>
      </c>
      <c r="E435" s="5" t="s">
        <v>54</v>
      </c>
      <c r="F435" s="5" t="s">
        <v>70</v>
      </c>
      <c r="G435" s="14">
        <v>43768</v>
      </c>
      <c r="H435" s="5">
        <v>100402009</v>
      </c>
      <c r="I435" s="14">
        <v>43804</v>
      </c>
      <c r="J435" s="5">
        <v>40</v>
      </c>
      <c r="K435" s="15">
        <v>205.7</v>
      </c>
      <c r="L435" s="15">
        <v>117.11</v>
      </c>
      <c r="M435" s="15">
        <v>8228</v>
      </c>
      <c r="N435" s="15">
        <v>4684.3999999999996</v>
      </c>
      <c r="O435" s="16">
        <v>3543.6000000000004</v>
      </c>
    </row>
    <row r="436" spans="2:15" ht="18.75" hidden="1" x14ac:dyDescent="0.25">
      <c r="B436" s="4" t="s">
        <v>72</v>
      </c>
      <c r="C436" s="5" t="s">
        <v>73</v>
      </c>
      <c r="D436" s="5" t="s">
        <v>93</v>
      </c>
      <c r="E436" s="5" t="s">
        <v>54</v>
      </c>
      <c r="F436" s="5" t="s">
        <v>55</v>
      </c>
      <c r="G436" s="14">
        <v>40399</v>
      </c>
      <c r="H436" s="5">
        <v>100403726</v>
      </c>
      <c r="I436" s="14">
        <v>40418</v>
      </c>
      <c r="J436" s="5">
        <v>548</v>
      </c>
      <c r="K436" s="15">
        <v>81.73</v>
      </c>
      <c r="L436" s="15">
        <v>56.67</v>
      </c>
      <c r="M436" s="15">
        <v>44788.04</v>
      </c>
      <c r="N436" s="15">
        <v>31055.16</v>
      </c>
      <c r="O436" s="16">
        <v>13732.880000000001</v>
      </c>
    </row>
    <row r="437" spans="2:15" ht="18.75" hidden="1" x14ac:dyDescent="0.25">
      <c r="B437" s="4" t="s">
        <v>81</v>
      </c>
      <c r="C437" s="5" t="s">
        <v>150</v>
      </c>
      <c r="D437" s="5" t="s">
        <v>58</v>
      </c>
      <c r="E437" s="5" t="s">
        <v>54</v>
      </c>
      <c r="F437" s="5" t="s">
        <v>55</v>
      </c>
      <c r="G437" s="14">
        <v>41536</v>
      </c>
      <c r="H437" s="5">
        <v>100404155</v>
      </c>
      <c r="I437" s="14">
        <v>41550</v>
      </c>
      <c r="J437" s="5">
        <v>675</v>
      </c>
      <c r="K437" s="15">
        <v>255.28</v>
      </c>
      <c r="L437" s="15">
        <v>159.41999999999999</v>
      </c>
      <c r="M437" s="15">
        <v>172314</v>
      </c>
      <c r="N437" s="15">
        <v>107608.49999999999</v>
      </c>
      <c r="O437" s="16">
        <v>64705.500000000015</v>
      </c>
    </row>
    <row r="438" spans="2:15" ht="18.75" hidden="1" x14ac:dyDescent="0.25">
      <c r="B438" s="4" t="s">
        <v>56</v>
      </c>
      <c r="C438" s="5" t="s">
        <v>183</v>
      </c>
      <c r="D438" s="5" t="s">
        <v>100</v>
      </c>
      <c r="E438" s="5" t="s">
        <v>54</v>
      </c>
      <c r="F438" s="5" t="s">
        <v>59</v>
      </c>
      <c r="G438" s="14">
        <v>40989</v>
      </c>
      <c r="H438" s="5">
        <v>100405442</v>
      </c>
      <c r="I438" s="14">
        <v>40990</v>
      </c>
      <c r="J438" s="5">
        <v>1056</v>
      </c>
      <c r="K438" s="15">
        <v>205.7</v>
      </c>
      <c r="L438" s="15">
        <v>117.11</v>
      </c>
      <c r="M438" s="15">
        <v>217219.19999999998</v>
      </c>
      <c r="N438" s="15">
        <v>123668.16</v>
      </c>
      <c r="O438" s="16">
        <v>93551.039999999979</v>
      </c>
    </row>
    <row r="439" spans="2:15" ht="18.75" hidden="1" x14ac:dyDescent="0.25">
      <c r="B439" s="4" t="s">
        <v>51</v>
      </c>
      <c r="C439" s="5" t="s">
        <v>79</v>
      </c>
      <c r="D439" s="5" t="s">
        <v>76</v>
      </c>
      <c r="E439" s="5" t="s">
        <v>54</v>
      </c>
      <c r="F439" s="5" t="s">
        <v>59</v>
      </c>
      <c r="G439" s="14">
        <v>42126</v>
      </c>
      <c r="H439" s="5">
        <v>100405871</v>
      </c>
      <c r="I439" s="14">
        <v>42174</v>
      </c>
      <c r="J439" s="5">
        <v>1183</v>
      </c>
      <c r="K439" s="15">
        <v>421.89</v>
      </c>
      <c r="L439" s="15">
        <v>364.69</v>
      </c>
      <c r="M439" s="15">
        <v>499095.87</v>
      </c>
      <c r="N439" s="15">
        <v>431428.27</v>
      </c>
      <c r="O439" s="16">
        <v>67667.599999999977</v>
      </c>
    </row>
    <row r="440" spans="2:15" ht="18.75" hidden="1" x14ac:dyDescent="0.25">
      <c r="B440" s="4" t="s">
        <v>81</v>
      </c>
      <c r="C440" s="5" t="s">
        <v>152</v>
      </c>
      <c r="D440" s="5" t="s">
        <v>88</v>
      </c>
      <c r="E440" s="5" t="s">
        <v>54</v>
      </c>
      <c r="F440" s="5" t="s">
        <v>63</v>
      </c>
      <c r="G440" s="14">
        <v>43264</v>
      </c>
      <c r="H440" s="5">
        <v>100406301</v>
      </c>
      <c r="I440" s="14">
        <v>43308</v>
      </c>
      <c r="J440" s="5">
        <v>1310</v>
      </c>
      <c r="K440" s="15">
        <v>152.58000000000001</v>
      </c>
      <c r="L440" s="15">
        <v>97.44</v>
      </c>
      <c r="M440" s="15">
        <v>199879.80000000002</v>
      </c>
      <c r="N440" s="15">
        <v>127646.39999999999</v>
      </c>
      <c r="O440" s="16">
        <v>72233.400000000023</v>
      </c>
    </row>
    <row r="441" spans="2:15" ht="18.75" hidden="1" x14ac:dyDescent="0.25">
      <c r="B441" s="4" t="s">
        <v>60</v>
      </c>
      <c r="C441" s="5" t="s">
        <v>184</v>
      </c>
      <c r="D441" s="5" t="s">
        <v>53</v>
      </c>
      <c r="E441" s="5" t="s">
        <v>54</v>
      </c>
      <c r="F441" s="5" t="s">
        <v>63</v>
      </c>
      <c r="G441" s="14">
        <v>40442</v>
      </c>
      <c r="H441" s="5">
        <v>100406730</v>
      </c>
      <c r="I441" s="14">
        <v>40481</v>
      </c>
      <c r="J441" s="5">
        <v>1437</v>
      </c>
      <c r="K441" s="15">
        <v>9.33</v>
      </c>
      <c r="L441" s="15">
        <v>6.92</v>
      </c>
      <c r="M441" s="15">
        <v>13407.210000000001</v>
      </c>
      <c r="N441" s="15">
        <v>9944.0399999999991</v>
      </c>
      <c r="O441" s="16">
        <v>3463.1700000000019</v>
      </c>
    </row>
    <row r="442" spans="2:15" ht="18.75" hidden="1" x14ac:dyDescent="0.25">
      <c r="B442" s="4" t="s">
        <v>51</v>
      </c>
      <c r="C442" s="5" t="s">
        <v>83</v>
      </c>
      <c r="D442" s="5" t="s">
        <v>93</v>
      </c>
      <c r="E442" s="5" t="s">
        <v>54</v>
      </c>
      <c r="F442" s="5" t="s">
        <v>55</v>
      </c>
      <c r="G442" s="14">
        <v>41579</v>
      </c>
      <c r="H442" s="5">
        <v>100407159</v>
      </c>
      <c r="I442" s="14">
        <v>41614</v>
      </c>
      <c r="J442" s="5">
        <v>1564</v>
      </c>
      <c r="K442" s="15">
        <v>81.73</v>
      </c>
      <c r="L442" s="15">
        <v>56.67</v>
      </c>
      <c r="M442" s="15">
        <v>127825.72</v>
      </c>
      <c r="N442" s="15">
        <v>88631.88</v>
      </c>
      <c r="O442" s="16">
        <v>39193.839999999997</v>
      </c>
    </row>
    <row r="443" spans="2:15" ht="18.75" hidden="1" x14ac:dyDescent="0.25">
      <c r="B443" s="4" t="s">
        <v>81</v>
      </c>
      <c r="C443" s="5" t="s">
        <v>84</v>
      </c>
      <c r="D443" s="5" t="s">
        <v>58</v>
      </c>
      <c r="E443" s="5" t="s">
        <v>54</v>
      </c>
      <c r="F443" s="5" t="s">
        <v>70</v>
      </c>
      <c r="G443" s="14">
        <v>42717</v>
      </c>
      <c r="H443" s="5">
        <v>100407588</v>
      </c>
      <c r="I443" s="14">
        <v>42747</v>
      </c>
      <c r="J443" s="5">
        <v>1691</v>
      </c>
      <c r="K443" s="15">
        <v>255.28</v>
      </c>
      <c r="L443" s="15">
        <v>159.41999999999999</v>
      </c>
      <c r="M443" s="15">
        <v>431678.48</v>
      </c>
      <c r="N443" s="15">
        <v>269579.21999999997</v>
      </c>
      <c r="O443" s="16">
        <v>162099.26</v>
      </c>
    </row>
    <row r="444" spans="2:15" ht="18.75" hidden="1" x14ac:dyDescent="0.25">
      <c r="B444" s="4" t="s">
        <v>81</v>
      </c>
      <c r="C444" s="5" t="s">
        <v>85</v>
      </c>
      <c r="D444" s="5" t="s">
        <v>100</v>
      </c>
      <c r="E444" s="5" t="s">
        <v>54</v>
      </c>
      <c r="F444" s="5" t="s">
        <v>59</v>
      </c>
      <c r="G444" s="14">
        <v>42170</v>
      </c>
      <c r="H444" s="5">
        <v>100408875</v>
      </c>
      <c r="I444" s="14">
        <v>42187</v>
      </c>
      <c r="J444" s="5">
        <v>2072</v>
      </c>
      <c r="K444" s="15">
        <v>205.7</v>
      </c>
      <c r="L444" s="15">
        <v>117.11</v>
      </c>
      <c r="M444" s="15">
        <v>426210.39999999997</v>
      </c>
      <c r="N444" s="15">
        <v>242651.92</v>
      </c>
      <c r="O444" s="16">
        <v>183558.47999999995</v>
      </c>
    </row>
    <row r="445" spans="2:15" ht="18.75" hidden="1" x14ac:dyDescent="0.25">
      <c r="B445" s="4" t="s">
        <v>74</v>
      </c>
      <c r="C445" s="5" t="s">
        <v>185</v>
      </c>
      <c r="D445" s="5" t="s">
        <v>76</v>
      </c>
      <c r="E445" s="5" t="s">
        <v>54</v>
      </c>
      <c r="F445" s="5" t="s">
        <v>63</v>
      </c>
      <c r="G445" s="14">
        <v>43307</v>
      </c>
      <c r="H445" s="5">
        <v>100409305</v>
      </c>
      <c r="I445" s="14">
        <v>43320</v>
      </c>
      <c r="J445" s="5">
        <v>2199</v>
      </c>
      <c r="K445" s="15">
        <v>421.89</v>
      </c>
      <c r="L445" s="15">
        <v>364.69</v>
      </c>
      <c r="M445" s="15">
        <v>927736.11</v>
      </c>
      <c r="N445" s="15">
        <v>801953.30999999994</v>
      </c>
      <c r="O445" s="16">
        <v>125782.80000000005</v>
      </c>
    </row>
    <row r="446" spans="2:15" ht="18.75" x14ac:dyDescent="0.25">
      <c r="B446" s="4" t="s">
        <v>81</v>
      </c>
      <c r="C446" s="5" t="s">
        <v>89</v>
      </c>
      <c r="D446" s="5" t="s">
        <v>58</v>
      </c>
      <c r="E446" s="5" t="s">
        <v>54</v>
      </c>
      <c r="F446" s="5" t="s">
        <v>70</v>
      </c>
      <c r="G446" s="14">
        <v>43897</v>
      </c>
      <c r="H446" s="5">
        <v>100411021</v>
      </c>
      <c r="I446" s="14">
        <v>43944</v>
      </c>
      <c r="J446" s="5">
        <v>2707</v>
      </c>
      <c r="K446" s="15">
        <v>255.28</v>
      </c>
      <c r="L446" s="15">
        <v>159.41999999999999</v>
      </c>
      <c r="M446" s="15">
        <v>691042.96</v>
      </c>
      <c r="N446" s="15">
        <v>431549.93999999994</v>
      </c>
      <c r="O446" s="16">
        <v>259493.02000000002</v>
      </c>
    </row>
    <row r="447" spans="2:15" ht="18.75" hidden="1" x14ac:dyDescent="0.25">
      <c r="B447" s="4" t="s">
        <v>56</v>
      </c>
      <c r="C447" s="5" t="s">
        <v>156</v>
      </c>
      <c r="D447" s="5" t="s">
        <v>96</v>
      </c>
      <c r="E447" s="5" t="s">
        <v>54</v>
      </c>
      <c r="F447" s="5" t="s">
        <v>70</v>
      </c>
      <c r="G447" s="14">
        <v>41075</v>
      </c>
      <c r="H447" s="5">
        <v>100411450</v>
      </c>
      <c r="I447" s="14">
        <v>41117</v>
      </c>
      <c r="J447" s="5">
        <v>2834</v>
      </c>
      <c r="K447" s="15">
        <v>154.06</v>
      </c>
      <c r="L447" s="15">
        <v>90.93</v>
      </c>
      <c r="M447" s="15">
        <v>436606.04</v>
      </c>
      <c r="N447" s="15">
        <v>257695.62000000002</v>
      </c>
      <c r="O447" s="16">
        <v>178910.41999999995</v>
      </c>
    </row>
    <row r="448" spans="2:15" ht="18.75" hidden="1" x14ac:dyDescent="0.25">
      <c r="B448" s="4" t="s">
        <v>81</v>
      </c>
      <c r="C448" s="5" t="s">
        <v>187</v>
      </c>
      <c r="D448" s="5" t="s">
        <v>100</v>
      </c>
      <c r="E448" s="5" t="s">
        <v>54</v>
      </c>
      <c r="F448" s="5" t="s">
        <v>63</v>
      </c>
      <c r="G448" s="14">
        <v>43350</v>
      </c>
      <c r="H448" s="5">
        <v>100412309</v>
      </c>
      <c r="I448" s="14">
        <v>43384</v>
      </c>
      <c r="J448" s="5">
        <v>3088</v>
      </c>
      <c r="K448" s="15">
        <v>205.7</v>
      </c>
      <c r="L448" s="15">
        <v>117.11</v>
      </c>
      <c r="M448" s="15">
        <v>635201.6</v>
      </c>
      <c r="N448" s="15">
        <v>361635.68</v>
      </c>
      <c r="O448" s="16">
        <v>273565.92</v>
      </c>
    </row>
    <row r="449" spans="2:15" ht="18.75" hidden="1" x14ac:dyDescent="0.25">
      <c r="B449" s="4" t="s">
        <v>74</v>
      </c>
      <c r="C449" s="5" t="s">
        <v>188</v>
      </c>
      <c r="D449" s="5" t="s">
        <v>93</v>
      </c>
      <c r="E449" s="5" t="s">
        <v>54</v>
      </c>
      <c r="F449" s="5" t="s">
        <v>70</v>
      </c>
      <c r="G449" s="14">
        <v>43940</v>
      </c>
      <c r="H449" s="5">
        <v>100414025</v>
      </c>
      <c r="I449" s="14">
        <v>43956</v>
      </c>
      <c r="J449" s="5">
        <v>3596</v>
      </c>
      <c r="K449" s="15">
        <v>81.73</v>
      </c>
      <c r="L449" s="15">
        <v>56.67</v>
      </c>
      <c r="M449" s="15">
        <v>293901.08</v>
      </c>
      <c r="N449" s="15">
        <v>203785.32</v>
      </c>
      <c r="O449" s="16">
        <v>90115.760000000009</v>
      </c>
    </row>
    <row r="450" spans="2:15" ht="18.75" hidden="1" x14ac:dyDescent="0.25">
      <c r="B450" s="4" t="s">
        <v>72</v>
      </c>
      <c r="C450" s="5" t="s">
        <v>91</v>
      </c>
      <c r="D450" s="5" t="s">
        <v>58</v>
      </c>
      <c r="E450" s="5" t="s">
        <v>54</v>
      </c>
      <c r="F450" s="5" t="s">
        <v>70</v>
      </c>
      <c r="G450" s="14">
        <v>41119</v>
      </c>
      <c r="H450" s="5">
        <v>100414454</v>
      </c>
      <c r="I450" s="14">
        <v>41131</v>
      </c>
      <c r="J450" s="5">
        <v>3723</v>
      </c>
      <c r="K450" s="15">
        <v>255.28</v>
      </c>
      <c r="L450" s="15">
        <v>159.41999999999999</v>
      </c>
      <c r="M450" s="15">
        <v>950407.44000000006</v>
      </c>
      <c r="N450" s="15">
        <v>593520.65999999992</v>
      </c>
      <c r="O450" s="16">
        <v>356886.78000000014</v>
      </c>
    </row>
    <row r="451" spans="2:15" ht="18.75" hidden="1" x14ac:dyDescent="0.25">
      <c r="B451" s="4" t="s">
        <v>81</v>
      </c>
      <c r="C451" s="5" t="s">
        <v>158</v>
      </c>
      <c r="D451" s="5" t="s">
        <v>96</v>
      </c>
      <c r="E451" s="5" t="s">
        <v>54</v>
      </c>
      <c r="F451" s="5" t="s">
        <v>59</v>
      </c>
      <c r="G451" s="14">
        <v>42256</v>
      </c>
      <c r="H451" s="5">
        <v>100414884</v>
      </c>
      <c r="I451" s="14">
        <v>42263</v>
      </c>
      <c r="J451" s="5">
        <v>3850</v>
      </c>
      <c r="K451" s="15">
        <v>154.06</v>
      </c>
      <c r="L451" s="15">
        <v>90.93</v>
      </c>
      <c r="M451" s="15">
        <v>593131</v>
      </c>
      <c r="N451" s="15">
        <v>350080.5</v>
      </c>
      <c r="O451" s="16">
        <v>243050.5</v>
      </c>
    </row>
    <row r="452" spans="2:15" ht="18.75" hidden="1" x14ac:dyDescent="0.25">
      <c r="B452" s="4" t="s">
        <v>60</v>
      </c>
      <c r="C452" s="5" t="s">
        <v>243</v>
      </c>
      <c r="D452" s="5" t="s">
        <v>80</v>
      </c>
      <c r="E452" s="5" t="s">
        <v>54</v>
      </c>
      <c r="F452" s="5" t="s">
        <v>70</v>
      </c>
      <c r="G452" s="14">
        <v>41162</v>
      </c>
      <c r="H452" s="5">
        <v>100417459</v>
      </c>
      <c r="I452" s="14">
        <v>41194</v>
      </c>
      <c r="J452" s="5">
        <v>4612</v>
      </c>
      <c r="K452" s="15">
        <v>668.27</v>
      </c>
      <c r="L452" s="15">
        <v>502.54</v>
      </c>
      <c r="M452" s="15">
        <v>3082061.2399999998</v>
      </c>
      <c r="N452" s="15">
        <v>2317714.48</v>
      </c>
      <c r="O452" s="16">
        <v>764346.75999999978</v>
      </c>
    </row>
    <row r="453" spans="2:15" ht="18.75" hidden="1" x14ac:dyDescent="0.25">
      <c r="B453" s="4" t="s">
        <v>51</v>
      </c>
      <c r="C453" s="5" t="s">
        <v>191</v>
      </c>
      <c r="D453" s="5" t="s">
        <v>58</v>
      </c>
      <c r="E453" s="5" t="s">
        <v>54</v>
      </c>
      <c r="F453" s="5" t="s">
        <v>59</v>
      </c>
      <c r="G453" s="14">
        <v>42299</v>
      </c>
      <c r="H453" s="5">
        <v>100417888</v>
      </c>
      <c r="I453" s="14">
        <v>42327</v>
      </c>
      <c r="J453" s="5">
        <v>4739</v>
      </c>
      <c r="K453" s="15">
        <v>255.28</v>
      </c>
      <c r="L453" s="15">
        <v>159.41999999999999</v>
      </c>
      <c r="M453" s="15">
        <v>1209771.92</v>
      </c>
      <c r="N453" s="15">
        <v>755491.37999999989</v>
      </c>
      <c r="O453" s="16">
        <v>454280.54000000004</v>
      </c>
    </row>
    <row r="454" spans="2:15" ht="18.75" hidden="1" x14ac:dyDescent="0.25">
      <c r="B454" s="4" t="s">
        <v>72</v>
      </c>
      <c r="C454" s="5" t="s">
        <v>250</v>
      </c>
      <c r="D454" s="5" t="s">
        <v>53</v>
      </c>
      <c r="E454" s="5" t="s">
        <v>54</v>
      </c>
      <c r="F454" s="5" t="s">
        <v>70</v>
      </c>
      <c r="G454" s="14">
        <v>41205</v>
      </c>
      <c r="H454" s="5">
        <v>100420463</v>
      </c>
      <c r="I454" s="14">
        <v>41207</v>
      </c>
      <c r="J454" s="5">
        <v>5501</v>
      </c>
      <c r="K454" s="15">
        <v>9.33</v>
      </c>
      <c r="L454" s="15">
        <v>6.92</v>
      </c>
      <c r="M454" s="15">
        <v>51324.33</v>
      </c>
      <c r="N454" s="15">
        <v>38066.92</v>
      </c>
      <c r="O454" s="16">
        <v>13257.410000000003</v>
      </c>
    </row>
    <row r="455" spans="2:15" ht="18.75" hidden="1" x14ac:dyDescent="0.25">
      <c r="B455" s="4" t="s">
        <v>81</v>
      </c>
      <c r="C455" s="5" t="s">
        <v>102</v>
      </c>
      <c r="D455" s="5" t="s">
        <v>65</v>
      </c>
      <c r="E455" s="5" t="s">
        <v>54</v>
      </c>
      <c r="F455" s="5" t="s">
        <v>63</v>
      </c>
      <c r="G455" s="14">
        <v>40658</v>
      </c>
      <c r="H455" s="5">
        <v>100421750</v>
      </c>
      <c r="I455" s="14">
        <v>40698</v>
      </c>
      <c r="J455" s="5">
        <v>5882</v>
      </c>
      <c r="K455" s="15">
        <v>651.21</v>
      </c>
      <c r="L455" s="15">
        <v>524.96</v>
      </c>
      <c r="M455" s="15">
        <v>3830417.22</v>
      </c>
      <c r="N455" s="15">
        <v>3087814.72</v>
      </c>
      <c r="O455" s="16">
        <v>742602.5</v>
      </c>
    </row>
    <row r="456" spans="2:15" ht="18.75" hidden="1" x14ac:dyDescent="0.25">
      <c r="B456" s="4" t="s">
        <v>51</v>
      </c>
      <c r="C456" s="5" t="s">
        <v>165</v>
      </c>
      <c r="D456" s="5" t="s">
        <v>62</v>
      </c>
      <c r="E456" s="5" t="s">
        <v>54</v>
      </c>
      <c r="F456" s="5" t="s">
        <v>55</v>
      </c>
      <c r="G456" s="14">
        <v>42932</v>
      </c>
      <c r="H456" s="5">
        <v>100422608</v>
      </c>
      <c r="I456" s="14">
        <v>42963</v>
      </c>
      <c r="J456" s="5">
        <v>6136</v>
      </c>
      <c r="K456" s="15">
        <v>437.2</v>
      </c>
      <c r="L456" s="15">
        <v>263.33</v>
      </c>
      <c r="M456" s="15">
        <v>2682659.1999999997</v>
      </c>
      <c r="N456" s="15">
        <v>1615792.88</v>
      </c>
      <c r="O456" s="16">
        <v>1066866.3199999998</v>
      </c>
    </row>
    <row r="457" spans="2:15" ht="18.75" x14ac:dyDescent="0.25">
      <c r="B457" s="4" t="s">
        <v>81</v>
      </c>
      <c r="C457" s="5" t="s">
        <v>194</v>
      </c>
      <c r="D457" s="5" t="s">
        <v>76</v>
      </c>
      <c r="E457" s="5" t="s">
        <v>54</v>
      </c>
      <c r="F457" s="5" t="s">
        <v>55</v>
      </c>
      <c r="G457" s="14">
        <v>44070</v>
      </c>
      <c r="H457" s="5">
        <v>100423038</v>
      </c>
      <c r="I457" s="14">
        <v>44097</v>
      </c>
      <c r="J457" s="5">
        <v>6263</v>
      </c>
      <c r="K457" s="15">
        <v>421.89</v>
      </c>
      <c r="L457" s="15">
        <v>364.69</v>
      </c>
      <c r="M457" s="15">
        <v>2642297.0699999998</v>
      </c>
      <c r="N457" s="15">
        <v>2284053.4700000002</v>
      </c>
      <c r="O457" s="16">
        <v>358243.59999999963</v>
      </c>
    </row>
    <row r="458" spans="2:15" ht="18.75" hidden="1" x14ac:dyDescent="0.25">
      <c r="B458" s="4" t="s">
        <v>60</v>
      </c>
      <c r="C458" s="5" t="s">
        <v>253</v>
      </c>
      <c r="D458" s="5" t="s">
        <v>78</v>
      </c>
      <c r="E458" s="5" t="s">
        <v>54</v>
      </c>
      <c r="F458" s="5" t="s">
        <v>70</v>
      </c>
      <c r="G458" s="14">
        <v>41248</v>
      </c>
      <c r="H458" s="5">
        <v>100423467</v>
      </c>
      <c r="I458" s="14">
        <v>41270</v>
      </c>
      <c r="J458" s="5">
        <v>6390</v>
      </c>
      <c r="K458" s="15">
        <v>47.45</v>
      </c>
      <c r="L458" s="15">
        <v>31.79</v>
      </c>
      <c r="M458" s="15">
        <v>303205.5</v>
      </c>
      <c r="N458" s="15">
        <v>203138.1</v>
      </c>
      <c r="O458" s="16">
        <v>100067.4</v>
      </c>
    </row>
    <row r="459" spans="2:15" ht="18.75" hidden="1" x14ac:dyDescent="0.25">
      <c r="B459" s="4" t="s">
        <v>81</v>
      </c>
      <c r="C459" s="5" t="s">
        <v>103</v>
      </c>
      <c r="D459" s="5" t="s">
        <v>80</v>
      </c>
      <c r="E459" s="5" t="s">
        <v>54</v>
      </c>
      <c r="F459" s="5" t="s">
        <v>59</v>
      </c>
      <c r="G459" s="14">
        <v>43523</v>
      </c>
      <c r="H459" s="5">
        <v>100424325</v>
      </c>
      <c r="I459" s="14">
        <v>43537</v>
      </c>
      <c r="J459" s="5">
        <v>6644</v>
      </c>
      <c r="K459" s="15">
        <v>668.27</v>
      </c>
      <c r="L459" s="15">
        <v>502.54</v>
      </c>
      <c r="M459" s="15">
        <v>4439985.88</v>
      </c>
      <c r="N459" s="15">
        <v>3338875.7600000002</v>
      </c>
      <c r="O459" s="16">
        <v>1101110.1199999996</v>
      </c>
    </row>
    <row r="460" spans="2:15" ht="18.75" hidden="1" x14ac:dyDescent="0.25">
      <c r="B460" s="4" t="s">
        <v>74</v>
      </c>
      <c r="C460" s="5" t="s">
        <v>104</v>
      </c>
      <c r="D460" s="5" t="s">
        <v>58</v>
      </c>
      <c r="E460" s="5" t="s">
        <v>54</v>
      </c>
      <c r="F460" s="5" t="s">
        <v>59</v>
      </c>
      <c r="G460" s="14">
        <v>40701</v>
      </c>
      <c r="H460" s="5">
        <v>100424754</v>
      </c>
      <c r="I460" s="14">
        <v>40710</v>
      </c>
      <c r="J460" s="5">
        <v>6771</v>
      </c>
      <c r="K460" s="15">
        <v>255.28</v>
      </c>
      <c r="L460" s="15">
        <v>159.41999999999999</v>
      </c>
      <c r="M460" s="15">
        <v>1728500.8800000001</v>
      </c>
      <c r="N460" s="15">
        <v>1079432.8199999998</v>
      </c>
      <c r="O460" s="16">
        <v>649068.06000000029</v>
      </c>
    </row>
    <row r="461" spans="2:15" ht="18.75" x14ac:dyDescent="0.25">
      <c r="B461" s="4" t="s">
        <v>51</v>
      </c>
      <c r="C461" s="5" t="s">
        <v>196</v>
      </c>
      <c r="D461" s="5" t="s">
        <v>62</v>
      </c>
      <c r="E461" s="5" t="s">
        <v>54</v>
      </c>
      <c r="F461" s="5" t="s">
        <v>55</v>
      </c>
      <c r="G461" s="14">
        <v>44113</v>
      </c>
      <c r="H461" s="5">
        <v>100426042</v>
      </c>
      <c r="I461" s="14">
        <v>44160</v>
      </c>
      <c r="J461" s="5">
        <v>7152</v>
      </c>
      <c r="K461" s="15">
        <v>437.2</v>
      </c>
      <c r="L461" s="15">
        <v>263.33</v>
      </c>
      <c r="M461" s="15">
        <v>3126854.4</v>
      </c>
      <c r="N461" s="15">
        <v>1883336.16</v>
      </c>
      <c r="O461" s="16">
        <v>1243518.24</v>
      </c>
    </row>
    <row r="462" spans="2:15" ht="18.75" hidden="1" x14ac:dyDescent="0.25">
      <c r="B462" s="4" t="s">
        <v>81</v>
      </c>
      <c r="C462" s="5" t="s">
        <v>197</v>
      </c>
      <c r="D462" s="5" t="s">
        <v>76</v>
      </c>
      <c r="E462" s="5" t="s">
        <v>54</v>
      </c>
      <c r="F462" s="5" t="s">
        <v>55</v>
      </c>
      <c r="G462" s="14">
        <v>41291</v>
      </c>
      <c r="H462" s="5">
        <v>100426471</v>
      </c>
      <c r="I462" s="14">
        <v>41334</v>
      </c>
      <c r="J462" s="5">
        <v>7279</v>
      </c>
      <c r="K462" s="15">
        <v>421.89</v>
      </c>
      <c r="L462" s="15">
        <v>364.69</v>
      </c>
      <c r="M462" s="15">
        <v>3070937.31</v>
      </c>
      <c r="N462" s="15">
        <v>2654578.5099999998</v>
      </c>
      <c r="O462" s="16">
        <v>416358.80000000028</v>
      </c>
    </row>
    <row r="463" spans="2:15" ht="18.75" hidden="1" x14ac:dyDescent="0.25">
      <c r="B463" s="4" t="s">
        <v>81</v>
      </c>
      <c r="C463" s="5" t="s">
        <v>169</v>
      </c>
      <c r="D463" s="5" t="s">
        <v>80</v>
      </c>
      <c r="E463" s="5" t="s">
        <v>54</v>
      </c>
      <c r="F463" s="5" t="s">
        <v>59</v>
      </c>
      <c r="G463" s="14">
        <v>40744</v>
      </c>
      <c r="H463" s="5">
        <v>100427758</v>
      </c>
      <c r="I463" s="14">
        <v>40774</v>
      </c>
      <c r="J463" s="5">
        <v>7660</v>
      </c>
      <c r="K463" s="15">
        <v>668.27</v>
      </c>
      <c r="L463" s="15">
        <v>502.54</v>
      </c>
      <c r="M463" s="15">
        <v>5118948.2</v>
      </c>
      <c r="N463" s="15">
        <v>3849456.4000000004</v>
      </c>
      <c r="O463" s="16">
        <v>1269491.7999999998</v>
      </c>
    </row>
    <row r="464" spans="2:15" ht="18.75" hidden="1" x14ac:dyDescent="0.25">
      <c r="B464" s="4" t="s">
        <v>51</v>
      </c>
      <c r="C464" s="5" t="s">
        <v>244</v>
      </c>
      <c r="D464" s="5" t="s">
        <v>65</v>
      </c>
      <c r="E464" s="5" t="s">
        <v>54</v>
      </c>
      <c r="F464" s="5" t="s">
        <v>63</v>
      </c>
      <c r="G464" s="14">
        <v>43019</v>
      </c>
      <c r="H464" s="5">
        <v>100428617</v>
      </c>
      <c r="I464" s="14">
        <v>43040</v>
      </c>
      <c r="J464" s="5">
        <v>7914</v>
      </c>
      <c r="K464" s="15">
        <v>651.21</v>
      </c>
      <c r="L464" s="15">
        <v>524.96</v>
      </c>
      <c r="M464" s="15">
        <v>5153675.9400000004</v>
      </c>
      <c r="N464" s="15">
        <v>4154533.4400000004</v>
      </c>
      <c r="O464" s="16">
        <v>999142.5</v>
      </c>
    </row>
    <row r="465" spans="2:15" ht="18.75" hidden="1" x14ac:dyDescent="0.25">
      <c r="B465" s="4" t="s">
        <v>60</v>
      </c>
      <c r="C465" s="5" t="s">
        <v>172</v>
      </c>
      <c r="D465" s="5" t="s">
        <v>62</v>
      </c>
      <c r="E465" s="5" t="s">
        <v>54</v>
      </c>
      <c r="F465" s="5" t="s">
        <v>55</v>
      </c>
      <c r="G465" s="14">
        <v>41334</v>
      </c>
      <c r="H465" s="5">
        <v>100429475</v>
      </c>
      <c r="I465" s="14">
        <v>41346</v>
      </c>
      <c r="J465" s="5">
        <v>8168</v>
      </c>
      <c r="K465" s="15">
        <v>437.2</v>
      </c>
      <c r="L465" s="15">
        <v>263.33</v>
      </c>
      <c r="M465" s="15">
        <v>3571049.6</v>
      </c>
      <c r="N465" s="15">
        <v>2150879.44</v>
      </c>
      <c r="O465" s="16">
        <v>1420170.1600000001</v>
      </c>
    </row>
    <row r="466" spans="2:15" ht="18.75" hidden="1" x14ac:dyDescent="0.25">
      <c r="B466" s="4" t="s">
        <v>56</v>
      </c>
      <c r="C466" s="5" t="s">
        <v>112</v>
      </c>
      <c r="D466" s="5" t="s">
        <v>58</v>
      </c>
      <c r="E466" s="5" t="s">
        <v>54</v>
      </c>
      <c r="F466" s="5" t="s">
        <v>63</v>
      </c>
      <c r="G466" s="14">
        <v>43062</v>
      </c>
      <c r="H466" s="5">
        <v>100431621</v>
      </c>
      <c r="I466" s="14">
        <v>43103</v>
      </c>
      <c r="J466" s="5">
        <v>8803</v>
      </c>
      <c r="K466" s="15">
        <v>255.28</v>
      </c>
      <c r="L466" s="15">
        <v>159.41999999999999</v>
      </c>
      <c r="M466" s="15">
        <v>2247229.84</v>
      </c>
      <c r="N466" s="15">
        <v>1403374.2599999998</v>
      </c>
      <c r="O466" s="16">
        <v>843855.58000000007</v>
      </c>
    </row>
    <row r="467" spans="2:15" ht="18.75" hidden="1" x14ac:dyDescent="0.25">
      <c r="B467" s="4" t="s">
        <v>60</v>
      </c>
      <c r="C467" s="5" t="s">
        <v>238</v>
      </c>
      <c r="D467" s="5" t="s">
        <v>62</v>
      </c>
      <c r="E467" s="5" t="s">
        <v>54</v>
      </c>
      <c r="F467" s="5" t="s">
        <v>70</v>
      </c>
      <c r="G467" s="14">
        <v>42515</v>
      </c>
      <c r="H467" s="5">
        <v>100432908</v>
      </c>
      <c r="I467" s="14">
        <v>42543</v>
      </c>
      <c r="J467" s="5">
        <v>9184</v>
      </c>
      <c r="K467" s="15">
        <v>437.2</v>
      </c>
      <c r="L467" s="15">
        <v>263.33</v>
      </c>
      <c r="M467" s="15">
        <v>4015244.8</v>
      </c>
      <c r="N467" s="15">
        <v>2418422.7199999997</v>
      </c>
      <c r="O467" s="16">
        <v>1596822.08</v>
      </c>
    </row>
    <row r="468" spans="2:15" ht="18.75" hidden="1" x14ac:dyDescent="0.25">
      <c r="B468" s="4" t="s">
        <v>51</v>
      </c>
      <c r="C468" s="5" t="s">
        <v>114</v>
      </c>
      <c r="D468" s="5" t="s">
        <v>76</v>
      </c>
      <c r="E468" s="5" t="s">
        <v>54</v>
      </c>
      <c r="F468" s="5" t="s">
        <v>70</v>
      </c>
      <c r="G468" s="14">
        <v>43652</v>
      </c>
      <c r="H468" s="5">
        <v>100433337</v>
      </c>
      <c r="I468" s="14">
        <v>43676</v>
      </c>
      <c r="J468" s="5">
        <v>9311</v>
      </c>
      <c r="K468" s="15">
        <v>421.89</v>
      </c>
      <c r="L468" s="15">
        <v>364.69</v>
      </c>
      <c r="M468" s="15">
        <v>3928217.79</v>
      </c>
      <c r="N468" s="15">
        <v>3395628.59</v>
      </c>
      <c r="O468" s="16">
        <v>532589.20000000019</v>
      </c>
    </row>
    <row r="469" spans="2:15" ht="18.75" hidden="1" x14ac:dyDescent="0.25">
      <c r="B469" s="4" t="s">
        <v>81</v>
      </c>
      <c r="C469" s="5" t="s">
        <v>115</v>
      </c>
      <c r="D469" s="5" t="s">
        <v>78</v>
      </c>
      <c r="E469" s="5" t="s">
        <v>54</v>
      </c>
      <c r="F469" s="5" t="s">
        <v>59</v>
      </c>
      <c r="G469" s="14">
        <v>40831</v>
      </c>
      <c r="H469" s="5">
        <v>100433766</v>
      </c>
      <c r="I469" s="14">
        <v>40851</v>
      </c>
      <c r="J469" s="5">
        <v>9438</v>
      </c>
      <c r="K469" s="15">
        <v>47.45</v>
      </c>
      <c r="L469" s="15">
        <v>31.79</v>
      </c>
      <c r="M469" s="15">
        <v>447833.10000000003</v>
      </c>
      <c r="N469" s="15">
        <v>300034.02</v>
      </c>
      <c r="O469" s="16">
        <v>147799.08000000002</v>
      </c>
    </row>
    <row r="470" spans="2:15" ht="18.75" hidden="1" x14ac:dyDescent="0.25">
      <c r="B470" s="4" t="s">
        <v>60</v>
      </c>
      <c r="C470" s="5" t="s">
        <v>201</v>
      </c>
      <c r="D470" s="5" t="s">
        <v>53</v>
      </c>
      <c r="E470" s="5" t="s">
        <v>54</v>
      </c>
      <c r="F470" s="5" t="s">
        <v>59</v>
      </c>
      <c r="G470" s="14">
        <v>41968</v>
      </c>
      <c r="H470" s="5">
        <v>100434195</v>
      </c>
      <c r="I470" s="14">
        <v>41983</v>
      </c>
      <c r="J470" s="5">
        <v>9565</v>
      </c>
      <c r="K470" s="15">
        <v>9.33</v>
      </c>
      <c r="L470" s="15">
        <v>6.92</v>
      </c>
      <c r="M470" s="15">
        <v>89241.45</v>
      </c>
      <c r="N470" s="15">
        <v>66189.8</v>
      </c>
      <c r="O470" s="16">
        <v>23051.649999999994</v>
      </c>
    </row>
    <row r="471" spans="2:15" ht="18.75" hidden="1" x14ac:dyDescent="0.25">
      <c r="B471" s="4" t="s">
        <v>51</v>
      </c>
      <c r="C471" s="5" t="s">
        <v>174</v>
      </c>
      <c r="D471" s="5" t="s">
        <v>80</v>
      </c>
      <c r="E471" s="5" t="s">
        <v>54</v>
      </c>
      <c r="F471" s="5" t="s">
        <v>63</v>
      </c>
      <c r="G471" s="14">
        <v>43105</v>
      </c>
      <c r="H471" s="5">
        <v>100434625</v>
      </c>
      <c r="I471" s="14">
        <v>43116</v>
      </c>
      <c r="J471" s="5">
        <v>9692</v>
      </c>
      <c r="K471" s="15">
        <v>668.27</v>
      </c>
      <c r="L471" s="15">
        <v>502.54</v>
      </c>
      <c r="M471" s="15">
        <v>6476872.8399999999</v>
      </c>
      <c r="N471" s="15">
        <v>4870617.6800000006</v>
      </c>
      <c r="O471" s="16">
        <v>1606255.1599999992</v>
      </c>
    </row>
    <row r="472" spans="2:15" ht="18.75" hidden="1" x14ac:dyDescent="0.25">
      <c r="B472" s="4" t="s">
        <v>81</v>
      </c>
      <c r="C472" s="5" t="s">
        <v>222</v>
      </c>
      <c r="D472" s="5" t="s">
        <v>58</v>
      </c>
      <c r="E472" s="5" t="s">
        <v>54</v>
      </c>
      <c r="F472" s="5" t="s">
        <v>63</v>
      </c>
      <c r="G472" s="14">
        <v>40283</v>
      </c>
      <c r="H472" s="5">
        <v>100435054</v>
      </c>
      <c r="I472" s="14">
        <v>40290</v>
      </c>
      <c r="J472" s="5">
        <v>9819</v>
      </c>
      <c r="K472" s="15">
        <v>255.28</v>
      </c>
      <c r="L472" s="15">
        <v>159.41999999999999</v>
      </c>
      <c r="M472" s="15">
        <v>2506594.3199999998</v>
      </c>
      <c r="N472" s="15">
        <v>1565344.98</v>
      </c>
      <c r="O472" s="16">
        <v>941249.33999999985</v>
      </c>
    </row>
    <row r="473" spans="2:15" ht="18.75" hidden="1" x14ac:dyDescent="0.25">
      <c r="B473" s="4" t="s">
        <v>74</v>
      </c>
      <c r="C473" s="5" t="s">
        <v>118</v>
      </c>
      <c r="D473" s="5" t="s">
        <v>65</v>
      </c>
      <c r="E473" s="5" t="s">
        <v>54</v>
      </c>
      <c r="F473" s="5" t="s">
        <v>55</v>
      </c>
      <c r="G473" s="14">
        <v>41421</v>
      </c>
      <c r="H473" s="5">
        <v>100435483</v>
      </c>
      <c r="I473" s="14">
        <v>41423</v>
      </c>
      <c r="J473" s="5">
        <v>9946</v>
      </c>
      <c r="K473" s="15">
        <v>651.21</v>
      </c>
      <c r="L473" s="15">
        <v>524.96</v>
      </c>
      <c r="M473" s="15">
        <v>6476934.6600000001</v>
      </c>
      <c r="N473" s="15">
        <v>5221252.16</v>
      </c>
      <c r="O473" s="16">
        <v>1255682.5</v>
      </c>
    </row>
    <row r="474" spans="2:15" ht="18.75" hidden="1" x14ac:dyDescent="0.25">
      <c r="B474" s="4" t="s">
        <v>56</v>
      </c>
      <c r="C474" s="5" t="s">
        <v>218</v>
      </c>
      <c r="D474" s="5" t="s">
        <v>62</v>
      </c>
      <c r="E474" s="5" t="s">
        <v>54</v>
      </c>
      <c r="F474" s="5" t="s">
        <v>70</v>
      </c>
      <c r="G474" s="14">
        <v>43695</v>
      </c>
      <c r="H474" s="5">
        <v>100436341</v>
      </c>
      <c r="I474" s="14">
        <v>43739</v>
      </c>
      <c r="J474" s="5">
        <v>200</v>
      </c>
      <c r="K474" s="15">
        <v>437.2</v>
      </c>
      <c r="L474" s="15">
        <v>263.33</v>
      </c>
      <c r="M474" s="15">
        <v>87440</v>
      </c>
      <c r="N474" s="15">
        <v>52666</v>
      </c>
      <c r="O474" s="16">
        <v>34774</v>
      </c>
    </row>
    <row r="475" spans="2:15" ht="18.75" hidden="1" x14ac:dyDescent="0.25">
      <c r="B475" s="4" t="s">
        <v>51</v>
      </c>
      <c r="C475" s="5" t="s">
        <v>52</v>
      </c>
      <c r="D475" s="5" t="s">
        <v>93</v>
      </c>
      <c r="E475" s="5" t="s">
        <v>54</v>
      </c>
      <c r="F475" s="5" t="s">
        <v>59</v>
      </c>
      <c r="G475" s="14">
        <v>40874</v>
      </c>
      <c r="H475" s="5">
        <v>100436770</v>
      </c>
      <c r="I475" s="14">
        <v>40914</v>
      </c>
      <c r="J475" s="5">
        <v>327</v>
      </c>
      <c r="K475" s="15">
        <v>81.73</v>
      </c>
      <c r="L475" s="15">
        <v>56.67</v>
      </c>
      <c r="M475" s="15">
        <v>26725.710000000003</v>
      </c>
      <c r="N475" s="15">
        <v>18531.09</v>
      </c>
      <c r="O475" s="16">
        <v>8194.6200000000026</v>
      </c>
    </row>
    <row r="476" spans="2:15" ht="18.75" hidden="1" x14ac:dyDescent="0.25">
      <c r="B476" s="4" t="s">
        <v>51</v>
      </c>
      <c r="C476" s="5" t="s">
        <v>230</v>
      </c>
      <c r="D476" s="5" t="s">
        <v>80</v>
      </c>
      <c r="E476" s="5" t="s">
        <v>54</v>
      </c>
      <c r="F476" s="5" t="s">
        <v>63</v>
      </c>
      <c r="G476" s="14">
        <v>40327</v>
      </c>
      <c r="H476" s="5">
        <v>100438058</v>
      </c>
      <c r="I476" s="14">
        <v>40354</v>
      </c>
      <c r="J476" s="5">
        <v>708</v>
      </c>
      <c r="K476" s="15">
        <v>668.27</v>
      </c>
      <c r="L476" s="15">
        <v>502.54</v>
      </c>
      <c r="M476" s="15">
        <v>473135.16</v>
      </c>
      <c r="N476" s="15">
        <v>355798.32</v>
      </c>
      <c r="O476" s="16">
        <v>117336.83999999997</v>
      </c>
    </row>
    <row r="477" spans="2:15" ht="18.75" hidden="1" x14ac:dyDescent="0.25">
      <c r="B477" s="4" t="s">
        <v>81</v>
      </c>
      <c r="C477" s="5" t="s">
        <v>176</v>
      </c>
      <c r="D477" s="5" t="s">
        <v>100</v>
      </c>
      <c r="E477" s="5" t="s">
        <v>54</v>
      </c>
      <c r="F477" s="5" t="s">
        <v>55</v>
      </c>
      <c r="G477" s="14">
        <v>41464</v>
      </c>
      <c r="H477" s="5">
        <v>100438487</v>
      </c>
      <c r="I477" s="14">
        <v>41487</v>
      </c>
      <c r="J477" s="5">
        <v>835</v>
      </c>
      <c r="K477" s="15">
        <v>205.7</v>
      </c>
      <c r="L477" s="15">
        <v>117.11</v>
      </c>
      <c r="M477" s="15">
        <v>171759.5</v>
      </c>
      <c r="N477" s="15">
        <v>97786.85</v>
      </c>
      <c r="O477" s="16">
        <v>73972.649999999994</v>
      </c>
    </row>
    <row r="478" spans="2:15" ht="18.75" hidden="1" x14ac:dyDescent="0.25">
      <c r="B478" s="4" t="s">
        <v>60</v>
      </c>
      <c r="C478" s="5" t="s">
        <v>61</v>
      </c>
      <c r="D478" s="5" t="s">
        <v>65</v>
      </c>
      <c r="E478" s="5" t="s">
        <v>54</v>
      </c>
      <c r="F478" s="5" t="s">
        <v>55</v>
      </c>
      <c r="G478" s="14">
        <v>42601</v>
      </c>
      <c r="H478" s="5">
        <v>100438916</v>
      </c>
      <c r="I478" s="14">
        <v>42619</v>
      </c>
      <c r="J478" s="5">
        <v>962</v>
      </c>
      <c r="K478" s="15">
        <v>651.21</v>
      </c>
      <c r="L478" s="15">
        <v>524.96</v>
      </c>
      <c r="M478" s="15">
        <v>626464.02</v>
      </c>
      <c r="N478" s="15">
        <v>505011.52</v>
      </c>
      <c r="O478" s="16">
        <v>121452.5</v>
      </c>
    </row>
    <row r="479" spans="2:15" ht="18.75" hidden="1" x14ac:dyDescent="0.25">
      <c r="B479" s="4" t="s">
        <v>51</v>
      </c>
      <c r="C479" s="5" t="s">
        <v>122</v>
      </c>
      <c r="D479" s="5" t="s">
        <v>88</v>
      </c>
      <c r="E479" s="5" t="s">
        <v>54</v>
      </c>
      <c r="F479" s="5" t="s">
        <v>70</v>
      </c>
      <c r="G479" s="14">
        <v>43739</v>
      </c>
      <c r="H479" s="5">
        <v>100439345</v>
      </c>
      <c r="I479" s="14">
        <v>43753</v>
      </c>
      <c r="J479" s="5">
        <v>1089</v>
      </c>
      <c r="K479" s="15">
        <v>152.58000000000001</v>
      </c>
      <c r="L479" s="15">
        <v>97.44</v>
      </c>
      <c r="M479" s="15">
        <v>166159.62000000002</v>
      </c>
      <c r="N479" s="15">
        <v>106112.16</v>
      </c>
      <c r="O479" s="16">
        <v>60047.460000000021</v>
      </c>
    </row>
    <row r="480" spans="2:15" ht="18.75" hidden="1" x14ac:dyDescent="0.25">
      <c r="B480" s="4" t="s">
        <v>51</v>
      </c>
      <c r="C480" s="5" t="s">
        <v>202</v>
      </c>
      <c r="D480" s="5" t="s">
        <v>80</v>
      </c>
      <c r="E480" s="5" t="s">
        <v>54</v>
      </c>
      <c r="F480" s="5" t="s">
        <v>55</v>
      </c>
      <c r="G480" s="14">
        <v>41507</v>
      </c>
      <c r="H480" s="5">
        <v>100441491</v>
      </c>
      <c r="I480" s="14">
        <v>41550</v>
      </c>
      <c r="J480" s="5">
        <v>1724</v>
      </c>
      <c r="K480" s="15">
        <v>668.27</v>
      </c>
      <c r="L480" s="15">
        <v>502.54</v>
      </c>
      <c r="M480" s="15">
        <v>1152097.48</v>
      </c>
      <c r="N480" s="15">
        <v>866378.96000000008</v>
      </c>
      <c r="O480" s="16">
        <v>285718.5199999999</v>
      </c>
    </row>
    <row r="481" spans="2:15" ht="18.75" hidden="1" x14ac:dyDescent="0.25">
      <c r="B481" s="4" t="s">
        <v>66</v>
      </c>
      <c r="C481" s="5" t="s">
        <v>67</v>
      </c>
      <c r="D481" s="5" t="s">
        <v>100</v>
      </c>
      <c r="E481" s="5" t="s">
        <v>54</v>
      </c>
      <c r="F481" s="5" t="s">
        <v>55</v>
      </c>
      <c r="G481" s="14">
        <v>42644</v>
      </c>
      <c r="H481" s="5">
        <v>100441920</v>
      </c>
      <c r="I481" s="14">
        <v>42683</v>
      </c>
      <c r="J481" s="5">
        <v>1851</v>
      </c>
      <c r="K481" s="15">
        <v>205.7</v>
      </c>
      <c r="L481" s="15">
        <v>117.11</v>
      </c>
      <c r="M481" s="15">
        <v>380750.69999999995</v>
      </c>
      <c r="N481" s="15">
        <v>216770.61</v>
      </c>
      <c r="O481" s="16">
        <v>163980.08999999997</v>
      </c>
    </row>
    <row r="482" spans="2:15" ht="18.75" hidden="1" x14ac:dyDescent="0.25">
      <c r="B482" s="4" t="s">
        <v>51</v>
      </c>
      <c r="C482" s="5" t="s">
        <v>128</v>
      </c>
      <c r="D482" s="5" t="s">
        <v>78</v>
      </c>
      <c r="E482" s="5" t="s">
        <v>54</v>
      </c>
      <c r="F482" s="5" t="s">
        <v>63</v>
      </c>
      <c r="G482" s="14">
        <v>40413</v>
      </c>
      <c r="H482" s="5">
        <v>100444066</v>
      </c>
      <c r="I482" s="14">
        <v>40430</v>
      </c>
      <c r="J482" s="5">
        <v>2486</v>
      </c>
      <c r="K482" s="15">
        <v>47.45</v>
      </c>
      <c r="L482" s="15">
        <v>31.79</v>
      </c>
      <c r="M482" s="15">
        <v>117960.70000000001</v>
      </c>
      <c r="N482" s="15">
        <v>79029.94</v>
      </c>
      <c r="O482" s="16">
        <v>38930.760000000009</v>
      </c>
    </row>
    <row r="483" spans="2:15" ht="18.75" hidden="1" x14ac:dyDescent="0.25">
      <c r="B483" s="4" t="s">
        <v>72</v>
      </c>
      <c r="C483" s="5" t="s">
        <v>73</v>
      </c>
      <c r="D483" s="5" t="s">
        <v>100</v>
      </c>
      <c r="E483" s="5" t="s">
        <v>54</v>
      </c>
      <c r="F483" s="5" t="s">
        <v>55</v>
      </c>
      <c r="G483" s="14">
        <v>43825</v>
      </c>
      <c r="H483" s="5">
        <v>100445353</v>
      </c>
      <c r="I483" s="14">
        <v>43829</v>
      </c>
      <c r="J483" s="5">
        <v>2867</v>
      </c>
      <c r="K483" s="15">
        <v>205.7</v>
      </c>
      <c r="L483" s="15">
        <v>117.11</v>
      </c>
      <c r="M483" s="15">
        <v>589741.9</v>
      </c>
      <c r="N483" s="15">
        <v>335754.37</v>
      </c>
      <c r="O483" s="16">
        <v>253987.53000000003</v>
      </c>
    </row>
    <row r="484" spans="2:15" ht="18.75" hidden="1" x14ac:dyDescent="0.25">
      <c r="B484" s="4" t="s">
        <v>74</v>
      </c>
      <c r="C484" s="5" t="s">
        <v>75</v>
      </c>
      <c r="D484" s="5" t="s">
        <v>88</v>
      </c>
      <c r="E484" s="5" t="s">
        <v>54</v>
      </c>
      <c r="F484" s="5" t="s">
        <v>59</v>
      </c>
      <c r="G484" s="14">
        <v>42140</v>
      </c>
      <c r="H484" s="5">
        <v>100446212</v>
      </c>
      <c r="I484" s="14">
        <v>42186</v>
      </c>
      <c r="J484" s="5">
        <v>3121</v>
      </c>
      <c r="K484" s="15">
        <v>152.58000000000001</v>
      </c>
      <c r="L484" s="15">
        <v>97.44</v>
      </c>
      <c r="M484" s="15">
        <v>476202.18000000005</v>
      </c>
      <c r="N484" s="15">
        <v>304110.24</v>
      </c>
      <c r="O484" s="16">
        <v>172091.94000000006</v>
      </c>
    </row>
    <row r="485" spans="2:15" ht="18.75" hidden="1" x14ac:dyDescent="0.25">
      <c r="B485" s="4" t="s">
        <v>72</v>
      </c>
      <c r="C485" s="5" t="s">
        <v>134</v>
      </c>
      <c r="D485" s="5" t="s">
        <v>62</v>
      </c>
      <c r="E485" s="5" t="s">
        <v>54</v>
      </c>
      <c r="F485" s="5" t="s">
        <v>59</v>
      </c>
      <c r="G485" s="14">
        <v>43278</v>
      </c>
      <c r="H485" s="5">
        <v>100446641</v>
      </c>
      <c r="I485" s="14">
        <v>43320</v>
      </c>
      <c r="J485" s="5">
        <v>3248</v>
      </c>
      <c r="K485" s="15">
        <v>437.2</v>
      </c>
      <c r="L485" s="15">
        <v>263.33</v>
      </c>
      <c r="M485" s="15">
        <v>1420025.5999999999</v>
      </c>
      <c r="N485" s="15">
        <v>855295.84</v>
      </c>
      <c r="O485" s="16">
        <v>564729.75999999989</v>
      </c>
    </row>
    <row r="486" spans="2:15" ht="18.75" hidden="1" x14ac:dyDescent="0.25">
      <c r="B486" s="4" t="s">
        <v>81</v>
      </c>
      <c r="C486" s="5" t="s">
        <v>82</v>
      </c>
      <c r="D486" s="5" t="s">
        <v>96</v>
      </c>
      <c r="E486" s="5" t="s">
        <v>54</v>
      </c>
      <c r="F486" s="5" t="s">
        <v>55</v>
      </c>
      <c r="G486" s="14">
        <v>42731</v>
      </c>
      <c r="H486" s="5">
        <v>100447928</v>
      </c>
      <c r="I486" s="14">
        <v>42760</v>
      </c>
      <c r="J486" s="5">
        <v>3629</v>
      </c>
      <c r="K486" s="15">
        <v>154.06</v>
      </c>
      <c r="L486" s="15">
        <v>90.93</v>
      </c>
      <c r="M486" s="15">
        <v>559083.74</v>
      </c>
      <c r="N486" s="15">
        <v>329984.97000000003</v>
      </c>
      <c r="O486" s="16">
        <v>229098.76999999996</v>
      </c>
    </row>
    <row r="487" spans="2:15" ht="18.75" hidden="1" x14ac:dyDescent="0.25">
      <c r="B487" s="4" t="s">
        <v>60</v>
      </c>
      <c r="C487" s="5" t="s">
        <v>139</v>
      </c>
      <c r="D487" s="5" t="s">
        <v>88</v>
      </c>
      <c r="E487" s="5" t="s">
        <v>54</v>
      </c>
      <c r="F487" s="5" t="s">
        <v>59</v>
      </c>
      <c r="G487" s="14">
        <v>43321</v>
      </c>
      <c r="H487" s="5">
        <v>100449645</v>
      </c>
      <c r="I487" s="14">
        <v>43332</v>
      </c>
      <c r="J487" s="5">
        <v>4137</v>
      </c>
      <c r="K487" s="15">
        <v>152.58000000000001</v>
      </c>
      <c r="L487" s="15">
        <v>97.44</v>
      </c>
      <c r="M487" s="15">
        <v>631223.46000000008</v>
      </c>
      <c r="N487" s="15">
        <v>403109.27999999997</v>
      </c>
      <c r="O487" s="16">
        <v>228114.18000000011</v>
      </c>
    </row>
    <row r="488" spans="2:15" ht="18.75" hidden="1" x14ac:dyDescent="0.25">
      <c r="B488" s="4" t="s">
        <v>51</v>
      </c>
      <c r="C488" s="5" t="s">
        <v>233</v>
      </c>
      <c r="D488" s="5" t="s">
        <v>62</v>
      </c>
      <c r="E488" s="5" t="s">
        <v>54</v>
      </c>
      <c r="F488" s="5" t="s">
        <v>59</v>
      </c>
      <c r="G488" s="14">
        <v>40499</v>
      </c>
      <c r="H488" s="5">
        <v>100450074</v>
      </c>
      <c r="I488" s="14">
        <v>40506</v>
      </c>
      <c r="J488" s="5">
        <v>4264</v>
      </c>
      <c r="K488" s="15">
        <v>437.2</v>
      </c>
      <c r="L488" s="15">
        <v>263.33</v>
      </c>
      <c r="M488" s="15">
        <v>1864220.8</v>
      </c>
      <c r="N488" s="15">
        <v>1122839.1199999999</v>
      </c>
      <c r="O488" s="16">
        <v>741381.68000000017</v>
      </c>
    </row>
    <row r="489" spans="2:15" ht="18.75" hidden="1" x14ac:dyDescent="0.25">
      <c r="B489" s="4" t="s">
        <v>81</v>
      </c>
      <c r="C489" s="5" t="s">
        <v>140</v>
      </c>
      <c r="D489" s="5" t="s">
        <v>93</v>
      </c>
      <c r="E489" s="5" t="s">
        <v>54</v>
      </c>
      <c r="F489" s="5" t="s">
        <v>63</v>
      </c>
      <c r="G489" s="14">
        <v>41637</v>
      </c>
      <c r="H489" s="5">
        <v>100450503</v>
      </c>
      <c r="I489" s="14">
        <v>41640</v>
      </c>
      <c r="J489" s="5">
        <v>4391</v>
      </c>
      <c r="K489" s="15">
        <v>81.73</v>
      </c>
      <c r="L489" s="15">
        <v>56.67</v>
      </c>
      <c r="M489" s="15">
        <v>358876.43</v>
      </c>
      <c r="N489" s="15">
        <v>248837.97</v>
      </c>
      <c r="O489" s="16">
        <v>110038.45999999999</v>
      </c>
    </row>
    <row r="490" spans="2:15" ht="18.75" hidden="1" x14ac:dyDescent="0.25">
      <c r="B490" s="4" t="s">
        <v>56</v>
      </c>
      <c r="C490" s="5" t="s">
        <v>203</v>
      </c>
      <c r="D490" s="5" t="s">
        <v>80</v>
      </c>
      <c r="E490" s="5" t="s">
        <v>54</v>
      </c>
      <c r="F490" s="5" t="s">
        <v>70</v>
      </c>
      <c r="G490" s="14">
        <v>41090</v>
      </c>
      <c r="H490" s="5">
        <v>100451791</v>
      </c>
      <c r="I490" s="14">
        <v>41131</v>
      </c>
      <c r="J490" s="5">
        <v>4772</v>
      </c>
      <c r="K490" s="15">
        <v>668.27</v>
      </c>
      <c r="L490" s="15">
        <v>502.54</v>
      </c>
      <c r="M490" s="15">
        <v>3188984.44</v>
      </c>
      <c r="N490" s="15">
        <v>2398120.88</v>
      </c>
      <c r="O490" s="16">
        <v>790863.56</v>
      </c>
    </row>
    <row r="491" spans="2:15" ht="18.75" hidden="1" x14ac:dyDescent="0.25">
      <c r="B491" s="4" t="s">
        <v>51</v>
      </c>
      <c r="C491" s="5" t="s">
        <v>204</v>
      </c>
      <c r="D491" s="5" t="s">
        <v>100</v>
      </c>
      <c r="E491" s="5" t="s">
        <v>54</v>
      </c>
      <c r="F491" s="5" t="s">
        <v>70</v>
      </c>
      <c r="G491" s="14">
        <v>42227</v>
      </c>
      <c r="H491" s="5">
        <v>100452220</v>
      </c>
      <c r="I491" s="14">
        <v>42263</v>
      </c>
      <c r="J491" s="5">
        <v>4899</v>
      </c>
      <c r="K491" s="15">
        <v>205.7</v>
      </c>
      <c r="L491" s="15">
        <v>117.11</v>
      </c>
      <c r="M491" s="15">
        <v>1007724.2999999999</v>
      </c>
      <c r="N491" s="15">
        <v>573721.89</v>
      </c>
      <c r="O491" s="16">
        <v>434002.40999999992</v>
      </c>
    </row>
    <row r="492" spans="2:15" ht="18.75" hidden="1" x14ac:dyDescent="0.25">
      <c r="B492" s="4" t="s">
        <v>56</v>
      </c>
      <c r="C492" s="5" t="s">
        <v>143</v>
      </c>
      <c r="D492" s="5" t="s">
        <v>88</v>
      </c>
      <c r="E492" s="5" t="s">
        <v>54</v>
      </c>
      <c r="F492" s="5" t="s">
        <v>59</v>
      </c>
      <c r="G492" s="14">
        <v>40542</v>
      </c>
      <c r="H492" s="5">
        <v>100453078</v>
      </c>
      <c r="I492" s="14">
        <v>40570</v>
      </c>
      <c r="J492" s="5">
        <v>5153</v>
      </c>
      <c r="K492" s="15">
        <v>152.58000000000001</v>
      </c>
      <c r="L492" s="15">
        <v>97.44</v>
      </c>
      <c r="M492" s="15">
        <v>786244.74000000011</v>
      </c>
      <c r="N492" s="15">
        <v>502108.32</v>
      </c>
      <c r="O492" s="16">
        <v>284136.4200000001</v>
      </c>
    </row>
    <row r="493" spans="2:15" ht="18.75" hidden="1" x14ac:dyDescent="0.25">
      <c r="B493" s="4" t="s">
        <v>81</v>
      </c>
      <c r="C493" s="5" t="s">
        <v>145</v>
      </c>
      <c r="D493" s="5" t="s">
        <v>93</v>
      </c>
      <c r="E493" s="5" t="s">
        <v>54</v>
      </c>
      <c r="F493" s="5" t="s">
        <v>63</v>
      </c>
      <c r="G493" s="14">
        <v>42817</v>
      </c>
      <c r="H493" s="5">
        <v>100453937</v>
      </c>
      <c r="I493" s="14">
        <v>42836</v>
      </c>
      <c r="J493" s="5">
        <v>5407</v>
      </c>
      <c r="K493" s="15">
        <v>81.73</v>
      </c>
      <c r="L493" s="15">
        <v>56.67</v>
      </c>
      <c r="M493" s="15">
        <v>441914.11000000004</v>
      </c>
      <c r="N493" s="15">
        <v>306414.69</v>
      </c>
      <c r="O493" s="16">
        <v>135499.42000000004</v>
      </c>
    </row>
    <row r="494" spans="2:15" ht="18.75" hidden="1" x14ac:dyDescent="0.25">
      <c r="B494" s="4" t="s">
        <v>81</v>
      </c>
      <c r="C494" s="5" t="s">
        <v>247</v>
      </c>
      <c r="D494" s="5" t="s">
        <v>80</v>
      </c>
      <c r="E494" s="5" t="s">
        <v>54</v>
      </c>
      <c r="F494" s="5" t="s">
        <v>70</v>
      </c>
      <c r="G494" s="14">
        <v>42270</v>
      </c>
      <c r="H494" s="5">
        <v>100455224</v>
      </c>
      <c r="I494" s="14">
        <v>42276</v>
      </c>
      <c r="J494" s="5">
        <v>5788</v>
      </c>
      <c r="K494" s="15">
        <v>668.27</v>
      </c>
      <c r="L494" s="15">
        <v>502.54</v>
      </c>
      <c r="M494" s="15">
        <v>3867946.76</v>
      </c>
      <c r="N494" s="15">
        <v>2908701.52</v>
      </c>
      <c r="O494" s="16">
        <v>959245.23999999976</v>
      </c>
    </row>
    <row r="495" spans="2:15" ht="18.75" hidden="1" x14ac:dyDescent="0.25">
      <c r="B495" s="4" t="s">
        <v>56</v>
      </c>
      <c r="C495" s="5" t="s">
        <v>92</v>
      </c>
      <c r="D495" s="5" t="s">
        <v>88</v>
      </c>
      <c r="E495" s="5" t="s">
        <v>54</v>
      </c>
      <c r="F495" s="5" t="s">
        <v>63</v>
      </c>
      <c r="G495" s="14">
        <v>41723</v>
      </c>
      <c r="H495" s="5">
        <v>100456511</v>
      </c>
      <c r="I495" s="14">
        <v>41767</v>
      </c>
      <c r="J495" s="5">
        <v>6169</v>
      </c>
      <c r="K495" s="15">
        <v>152.58000000000001</v>
      </c>
      <c r="L495" s="15">
        <v>97.44</v>
      </c>
      <c r="M495" s="15">
        <v>941266.02000000014</v>
      </c>
      <c r="N495" s="15">
        <v>601107.36</v>
      </c>
      <c r="O495" s="16">
        <v>340158.66000000015</v>
      </c>
    </row>
    <row r="496" spans="2:15" ht="18.75" hidden="1" x14ac:dyDescent="0.25">
      <c r="B496" s="4" t="s">
        <v>51</v>
      </c>
      <c r="C496" s="5" t="s">
        <v>94</v>
      </c>
      <c r="D496" s="5" t="s">
        <v>53</v>
      </c>
      <c r="E496" s="5" t="s">
        <v>54</v>
      </c>
      <c r="F496" s="5" t="s">
        <v>63</v>
      </c>
      <c r="G496" s="14">
        <v>42860</v>
      </c>
      <c r="H496" s="5">
        <v>100456941</v>
      </c>
      <c r="I496" s="14">
        <v>42899</v>
      </c>
      <c r="J496" s="5">
        <v>6296</v>
      </c>
      <c r="K496" s="15">
        <v>9.33</v>
      </c>
      <c r="L496" s="15">
        <v>6.92</v>
      </c>
      <c r="M496" s="15">
        <v>58741.68</v>
      </c>
      <c r="N496" s="15">
        <v>43568.32</v>
      </c>
      <c r="O496" s="16">
        <v>15173.36</v>
      </c>
    </row>
    <row r="497" spans="2:15" ht="18.75" hidden="1" x14ac:dyDescent="0.25">
      <c r="B497" s="4" t="s">
        <v>56</v>
      </c>
      <c r="C497" s="5" t="s">
        <v>207</v>
      </c>
      <c r="D497" s="5" t="s">
        <v>58</v>
      </c>
      <c r="E497" s="5" t="s">
        <v>132</v>
      </c>
      <c r="F497" s="5" t="s">
        <v>55</v>
      </c>
      <c r="G497" s="14">
        <v>41176</v>
      </c>
      <c r="H497" s="5">
        <v>100457799</v>
      </c>
      <c r="I497" s="14">
        <v>41207</v>
      </c>
      <c r="J497" s="5">
        <v>6550</v>
      </c>
      <c r="K497" s="15">
        <v>255.28</v>
      </c>
      <c r="L497" s="15">
        <v>159.41999999999999</v>
      </c>
      <c r="M497" s="15">
        <v>1672084</v>
      </c>
      <c r="N497" s="15">
        <v>1044200.9999999999</v>
      </c>
      <c r="O497" s="16">
        <v>627883.00000000012</v>
      </c>
    </row>
    <row r="498" spans="2:15" ht="18.75" hidden="1" x14ac:dyDescent="0.25">
      <c r="B498" s="4" t="s">
        <v>81</v>
      </c>
      <c r="C498" s="5" t="s">
        <v>148</v>
      </c>
      <c r="D498" s="5" t="s">
        <v>68</v>
      </c>
      <c r="E498" s="5" t="s">
        <v>132</v>
      </c>
      <c r="F498" s="5" t="s">
        <v>70</v>
      </c>
      <c r="G498" s="14">
        <v>43450</v>
      </c>
      <c r="H498" s="5">
        <v>100458657</v>
      </c>
      <c r="I498" s="14">
        <v>43472</v>
      </c>
      <c r="J498" s="5">
        <v>6804</v>
      </c>
      <c r="K498" s="15">
        <v>109.28</v>
      </c>
      <c r="L498" s="15">
        <v>35.840000000000003</v>
      </c>
      <c r="M498" s="15">
        <v>743541.12</v>
      </c>
      <c r="N498" s="15">
        <v>243855.36000000002</v>
      </c>
      <c r="O498" s="16">
        <v>499685.76</v>
      </c>
    </row>
    <row r="499" spans="2:15" ht="18.75" hidden="1" x14ac:dyDescent="0.25">
      <c r="B499" s="4" t="s">
        <v>60</v>
      </c>
      <c r="C499" s="5" t="s">
        <v>248</v>
      </c>
      <c r="D499" s="5" t="s">
        <v>100</v>
      </c>
      <c r="E499" s="5" t="s">
        <v>132</v>
      </c>
      <c r="F499" s="5" t="s">
        <v>59</v>
      </c>
      <c r="G499" s="14">
        <v>40629</v>
      </c>
      <c r="H499" s="5">
        <v>100459086</v>
      </c>
      <c r="I499" s="14">
        <v>40647</v>
      </c>
      <c r="J499" s="5">
        <v>6931</v>
      </c>
      <c r="K499" s="15">
        <v>205.7</v>
      </c>
      <c r="L499" s="15">
        <v>117.11</v>
      </c>
      <c r="M499" s="15">
        <v>1425706.7</v>
      </c>
      <c r="N499" s="15">
        <v>811689.41</v>
      </c>
      <c r="O499" s="16">
        <v>614017.28999999992</v>
      </c>
    </row>
    <row r="500" spans="2:15" ht="18.75" hidden="1" x14ac:dyDescent="0.25">
      <c r="B500" s="4" t="s">
        <v>81</v>
      </c>
      <c r="C500" s="5" t="s">
        <v>192</v>
      </c>
      <c r="D500" s="5" t="s">
        <v>88</v>
      </c>
      <c r="E500" s="5" t="s">
        <v>132</v>
      </c>
      <c r="F500" s="5" t="s">
        <v>63</v>
      </c>
      <c r="G500" s="14">
        <v>42903</v>
      </c>
      <c r="H500" s="5">
        <v>100459945</v>
      </c>
      <c r="I500" s="14">
        <v>42912</v>
      </c>
      <c r="J500" s="5">
        <v>7185</v>
      </c>
      <c r="K500" s="15">
        <v>152.58000000000001</v>
      </c>
      <c r="L500" s="15">
        <v>97.44</v>
      </c>
      <c r="M500" s="15">
        <v>1096287.3</v>
      </c>
      <c r="N500" s="15">
        <v>700106.4</v>
      </c>
      <c r="O500" s="16">
        <v>396180.9</v>
      </c>
    </row>
    <row r="501" spans="2:15" ht="18.75" hidden="1" x14ac:dyDescent="0.25">
      <c r="B501" s="4" t="s">
        <v>72</v>
      </c>
      <c r="C501" s="5" t="s">
        <v>209</v>
      </c>
      <c r="D501" s="5" t="s">
        <v>93</v>
      </c>
      <c r="E501" s="5" t="s">
        <v>132</v>
      </c>
      <c r="F501" s="5" t="s">
        <v>55</v>
      </c>
      <c r="G501" s="14">
        <v>41219</v>
      </c>
      <c r="H501" s="5">
        <v>100460803</v>
      </c>
      <c r="I501" s="14">
        <v>41219</v>
      </c>
      <c r="J501" s="5">
        <v>7439</v>
      </c>
      <c r="K501" s="15">
        <v>81.73</v>
      </c>
      <c r="L501" s="15">
        <v>56.67</v>
      </c>
      <c r="M501" s="15">
        <v>607989.47</v>
      </c>
      <c r="N501" s="15">
        <v>421568.13</v>
      </c>
      <c r="O501" s="16">
        <v>186421.33999999997</v>
      </c>
    </row>
    <row r="502" spans="2:15" ht="18.75" hidden="1" x14ac:dyDescent="0.25">
      <c r="B502" s="4" t="s">
        <v>74</v>
      </c>
      <c r="C502" s="5" t="s">
        <v>99</v>
      </c>
      <c r="D502" s="5" t="s">
        <v>96</v>
      </c>
      <c r="E502" s="5" t="s">
        <v>132</v>
      </c>
      <c r="F502" s="5" t="s">
        <v>70</v>
      </c>
      <c r="G502" s="14">
        <v>43494</v>
      </c>
      <c r="H502" s="5">
        <v>100461661</v>
      </c>
      <c r="I502" s="14">
        <v>43536</v>
      </c>
      <c r="J502" s="5">
        <v>7693</v>
      </c>
      <c r="K502" s="15">
        <v>154.06</v>
      </c>
      <c r="L502" s="15">
        <v>90.93</v>
      </c>
      <c r="M502" s="15">
        <v>1185183.58</v>
      </c>
      <c r="N502" s="15">
        <v>699524.49000000011</v>
      </c>
      <c r="O502" s="16">
        <v>485659.08999999997</v>
      </c>
    </row>
    <row r="503" spans="2:15" ht="18.75" hidden="1" x14ac:dyDescent="0.25">
      <c r="B503" s="4" t="s">
        <v>72</v>
      </c>
      <c r="C503" s="5" t="s">
        <v>101</v>
      </c>
      <c r="D503" s="5" t="s">
        <v>68</v>
      </c>
      <c r="E503" s="5" t="s">
        <v>132</v>
      </c>
      <c r="F503" s="5" t="s">
        <v>59</v>
      </c>
      <c r="G503" s="14">
        <v>40672</v>
      </c>
      <c r="H503" s="5">
        <v>100462090</v>
      </c>
      <c r="I503" s="14">
        <v>40710</v>
      </c>
      <c r="J503" s="5">
        <v>7820</v>
      </c>
      <c r="K503" s="15">
        <v>109.28</v>
      </c>
      <c r="L503" s="15">
        <v>35.840000000000003</v>
      </c>
      <c r="M503" s="15">
        <v>854569.6</v>
      </c>
      <c r="N503" s="15">
        <v>280268.80000000005</v>
      </c>
      <c r="O503" s="16">
        <v>574300.79999999993</v>
      </c>
    </row>
    <row r="504" spans="2:15" ht="18.75" hidden="1" x14ac:dyDescent="0.25">
      <c r="B504" s="4" t="s">
        <v>56</v>
      </c>
      <c r="C504" s="5" t="s">
        <v>235</v>
      </c>
      <c r="D504" s="5" t="s">
        <v>100</v>
      </c>
      <c r="E504" s="5" t="s">
        <v>132</v>
      </c>
      <c r="F504" s="5" t="s">
        <v>59</v>
      </c>
      <c r="G504" s="14">
        <v>41809</v>
      </c>
      <c r="H504" s="5">
        <v>100462520</v>
      </c>
      <c r="I504" s="14">
        <v>41843</v>
      </c>
      <c r="J504" s="5">
        <v>7947</v>
      </c>
      <c r="K504" s="15">
        <v>205.7</v>
      </c>
      <c r="L504" s="15">
        <v>117.11</v>
      </c>
      <c r="M504" s="15">
        <v>1634697.9</v>
      </c>
      <c r="N504" s="15">
        <v>930673.17</v>
      </c>
      <c r="O504" s="16">
        <v>704024.72999999986</v>
      </c>
    </row>
    <row r="505" spans="2:15" ht="18.75" hidden="1" x14ac:dyDescent="0.25">
      <c r="B505" s="4" t="s">
        <v>81</v>
      </c>
      <c r="C505" s="5" t="s">
        <v>102</v>
      </c>
      <c r="D505" s="5" t="s">
        <v>88</v>
      </c>
      <c r="E505" s="5" t="s">
        <v>132</v>
      </c>
      <c r="F505" s="5" t="s">
        <v>63</v>
      </c>
      <c r="G505" s="14">
        <v>44084</v>
      </c>
      <c r="H505" s="5">
        <v>100463378</v>
      </c>
      <c r="I505" s="14">
        <v>44109</v>
      </c>
      <c r="J505" s="5">
        <v>8201</v>
      </c>
      <c r="K505" s="15">
        <v>152.58000000000001</v>
      </c>
      <c r="L505" s="15">
        <v>97.44</v>
      </c>
      <c r="M505" s="15">
        <v>1251308.58</v>
      </c>
      <c r="N505" s="15">
        <v>799105.44</v>
      </c>
      <c r="O505" s="16">
        <v>452203.14000000013</v>
      </c>
    </row>
    <row r="506" spans="2:15" ht="18.75" hidden="1" x14ac:dyDescent="0.25">
      <c r="B506" s="4" t="s">
        <v>60</v>
      </c>
      <c r="C506" s="5" t="s">
        <v>193</v>
      </c>
      <c r="D506" s="5" t="s">
        <v>53</v>
      </c>
      <c r="E506" s="5" t="s">
        <v>132</v>
      </c>
      <c r="F506" s="5" t="s">
        <v>55</v>
      </c>
      <c r="G506" s="14">
        <v>41262</v>
      </c>
      <c r="H506" s="5">
        <v>100463807</v>
      </c>
      <c r="I506" s="14">
        <v>41283</v>
      </c>
      <c r="J506" s="5">
        <v>8328</v>
      </c>
      <c r="K506" s="15">
        <v>9.33</v>
      </c>
      <c r="L506" s="15">
        <v>6.92</v>
      </c>
      <c r="M506" s="15">
        <v>77700.240000000005</v>
      </c>
      <c r="N506" s="15">
        <v>57629.760000000002</v>
      </c>
      <c r="O506" s="16">
        <v>20070.480000000003</v>
      </c>
    </row>
    <row r="507" spans="2:15" ht="18.75" hidden="1" x14ac:dyDescent="0.25">
      <c r="B507" s="4" t="s">
        <v>51</v>
      </c>
      <c r="C507" s="5" t="s">
        <v>153</v>
      </c>
      <c r="D507" s="5" t="s">
        <v>93</v>
      </c>
      <c r="E507" s="5" t="s">
        <v>132</v>
      </c>
      <c r="F507" s="5" t="s">
        <v>55</v>
      </c>
      <c r="G507" s="14">
        <v>42399</v>
      </c>
      <c r="H507" s="5">
        <v>100464236</v>
      </c>
      <c r="I507" s="14">
        <v>42415</v>
      </c>
      <c r="J507" s="5">
        <v>8455</v>
      </c>
      <c r="K507" s="15">
        <v>81.73</v>
      </c>
      <c r="L507" s="15">
        <v>56.67</v>
      </c>
      <c r="M507" s="15">
        <v>691027.15</v>
      </c>
      <c r="N507" s="15">
        <v>479144.85000000003</v>
      </c>
      <c r="O507" s="16">
        <v>211882.3</v>
      </c>
    </row>
    <row r="508" spans="2:15" ht="18.75" hidden="1" x14ac:dyDescent="0.25">
      <c r="B508" s="4" t="s">
        <v>81</v>
      </c>
      <c r="C508" s="5" t="s">
        <v>210</v>
      </c>
      <c r="D508" s="5" t="s">
        <v>58</v>
      </c>
      <c r="E508" s="5" t="s">
        <v>132</v>
      </c>
      <c r="F508" s="5" t="s">
        <v>70</v>
      </c>
      <c r="G508" s="14">
        <v>43537</v>
      </c>
      <c r="H508" s="5">
        <v>100464665</v>
      </c>
      <c r="I508" s="14">
        <v>43549</v>
      </c>
      <c r="J508" s="5">
        <v>8582</v>
      </c>
      <c r="K508" s="15">
        <v>255.28</v>
      </c>
      <c r="L508" s="15">
        <v>159.41999999999999</v>
      </c>
      <c r="M508" s="15">
        <v>2190812.96</v>
      </c>
      <c r="N508" s="15">
        <v>1368142.44</v>
      </c>
      <c r="O508" s="16">
        <v>822670.52</v>
      </c>
    </row>
    <row r="509" spans="2:15" ht="18.75" x14ac:dyDescent="0.25">
      <c r="B509" s="4" t="s">
        <v>74</v>
      </c>
      <c r="C509" s="5" t="s">
        <v>155</v>
      </c>
      <c r="D509" s="5" t="s">
        <v>76</v>
      </c>
      <c r="E509" s="5" t="s">
        <v>132</v>
      </c>
      <c r="F509" s="5" t="s">
        <v>63</v>
      </c>
      <c r="G509" s="14">
        <v>44127</v>
      </c>
      <c r="H509" s="5">
        <v>100466382</v>
      </c>
      <c r="I509" s="14">
        <v>44172</v>
      </c>
      <c r="J509" s="5">
        <v>9090</v>
      </c>
      <c r="K509" s="15">
        <v>421.89</v>
      </c>
      <c r="L509" s="15">
        <v>364.69</v>
      </c>
      <c r="M509" s="15">
        <v>3834980.1</v>
      </c>
      <c r="N509" s="15">
        <v>3315032.1</v>
      </c>
      <c r="O509" s="16">
        <v>519948</v>
      </c>
    </row>
    <row r="510" spans="2:15" ht="18.75" hidden="1" x14ac:dyDescent="0.25">
      <c r="B510" s="4" t="s">
        <v>56</v>
      </c>
      <c r="C510" s="5" t="s">
        <v>105</v>
      </c>
      <c r="D510" s="5" t="s">
        <v>53</v>
      </c>
      <c r="E510" s="5" t="s">
        <v>132</v>
      </c>
      <c r="F510" s="5" t="s">
        <v>55</v>
      </c>
      <c r="G510" s="14">
        <v>42443</v>
      </c>
      <c r="H510" s="5">
        <v>100467240</v>
      </c>
      <c r="I510" s="14">
        <v>42480</v>
      </c>
      <c r="J510" s="5">
        <v>9344</v>
      </c>
      <c r="K510" s="15">
        <v>9.33</v>
      </c>
      <c r="L510" s="15">
        <v>6.92</v>
      </c>
      <c r="M510" s="15">
        <v>87179.520000000004</v>
      </c>
      <c r="N510" s="15">
        <v>64660.479999999996</v>
      </c>
      <c r="O510" s="16">
        <v>22519.040000000008</v>
      </c>
    </row>
    <row r="511" spans="2:15" ht="18.75" hidden="1" x14ac:dyDescent="0.25">
      <c r="B511" s="4" t="s">
        <v>81</v>
      </c>
      <c r="C511" s="5" t="s">
        <v>212</v>
      </c>
      <c r="D511" s="5" t="s">
        <v>58</v>
      </c>
      <c r="E511" s="5" t="s">
        <v>132</v>
      </c>
      <c r="F511" s="5" t="s">
        <v>70</v>
      </c>
      <c r="G511" s="14">
        <v>40758</v>
      </c>
      <c r="H511" s="5">
        <v>100468099</v>
      </c>
      <c r="I511" s="14">
        <v>40786</v>
      </c>
      <c r="J511" s="5">
        <v>9598</v>
      </c>
      <c r="K511" s="15">
        <v>255.28</v>
      </c>
      <c r="L511" s="15">
        <v>159.41999999999999</v>
      </c>
      <c r="M511" s="15">
        <v>2450177.44</v>
      </c>
      <c r="N511" s="15">
        <v>1530113.16</v>
      </c>
      <c r="O511" s="16">
        <v>920064.28</v>
      </c>
    </row>
    <row r="512" spans="2:15" ht="18.75" hidden="1" x14ac:dyDescent="0.25">
      <c r="B512" s="4" t="s">
        <v>81</v>
      </c>
      <c r="C512" s="5" t="s">
        <v>157</v>
      </c>
      <c r="D512" s="5" t="s">
        <v>100</v>
      </c>
      <c r="E512" s="5" t="s">
        <v>132</v>
      </c>
      <c r="F512" s="5" t="s">
        <v>63</v>
      </c>
      <c r="G512" s="14">
        <v>40211</v>
      </c>
      <c r="H512" s="5">
        <v>100469386</v>
      </c>
      <c r="I512" s="14">
        <v>40226</v>
      </c>
      <c r="J512" s="5">
        <v>9979</v>
      </c>
      <c r="K512" s="15">
        <v>205.7</v>
      </c>
      <c r="L512" s="15">
        <v>117.11</v>
      </c>
      <c r="M512" s="15">
        <v>2052680.2999999998</v>
      </c>
      <c r="N512" s="15">
        <v>1168640.69</v>
      </c>
      <c r="O512" s="16">
        <v>884039.60999999987</v>
      </c>
    </row>
    <row r="513" spans="2:15" ht="18.75" hidden="1" x14ac:dyDescent="0.25">
      <c r="B513" s="4" t="s">
        <v>60</v>
      </c>
      <c r="C513" s="5" t="s">
        <v>213</v>
      </c>
      <c r="D513" s="5" t="s">
        <v>76</v>
      </c>
      <c r="E513" s="5" t="s">
        <v>132</v>
      </c>
      <c r="F513" s="5" t="s">
        <v>63</v>
      </c>
      <c r="G513" s="14">
        <v>41349</v>
      </c>
      <c r="H513" s="5">
        <v>100469815</v>
      </c>
      <c r="I513" s="14">
        <v>41360</v>
      </c>
      <c r="J513" s="5">
        <v>106</v>
      </c>
      <c r="K513" s="15">
        <v>421.89</v>
      </c>
      <c r="L513" s="15">
        <v>364.69</v>
      </c>
      <c r="M513" s="15">
        <v>44720.34</v>
      </c>
      <c r="N513" s="15">
        <v>38657.14</v>
      </c>
      <c r="O513" s="16">
        <v>6063.1999999999971</v>
      </c>
    </row>
    <row r="514" spans="2:15" ht="18.75" hidden="1" x14ac:dyDescent="0.25">
      <c r="B514" s="4" t="s">
        <v>74</v>
      </c>
      <c r="C514" s="5" t="s">
        <v>249</v>
      </c>
      <c r="D514" s="5" t="s">
        <v>93</v>
      </c>
      <c r="E514" s="5" t="s">
        <v>132</v>
      </c>
      <c r="F514" s="5" t="s">
        <v>70</v>
      </c>
      <c r="G514" s="14">
        <v>40801</v>
      </c>
      <c r="H514" s="5">
        <v>100471103</v>
      </c>
      <c r="I514" s="14">
        <v>40849</v>
      </c>
      <c r="J514" s="5">
        <v>487</v>
      </c>
      <c r="K514" s="15">
        <v>81.73</v>
      </c>
      <c r="L514" s="15">
        <v>56.67</v>
      </c>
      <c r="M514" s="15">
        <v>39802.51</v>
      </c>
      <c r="N514" s="15">
        <v>27598.29</v>
      </c>
      <c r="O514" s="16">
        <v>12204.220000000001</v>
      </c>
    </row>
    <row r="515" spans="2:15" ht="18.75" hidden="1" x14ac:dyDescent="0.25">
      <c r="B515" s="4" t="s">
        <v>72</v>
      </c>
      <c r="C515" s="5" t="s">
        <v>214</v>
      </c>
      <c r="D515" s="5" t="s">
        <v>58</v>
      </c>
      <c r="E515" s="5" t="s">
        <v>132</v>
      </c>
      <c r="F515" s="5" t="s">
        <v>59</v>
      </c>
      <c r="G515" s="14">
        <v>41939</v>
      </c>
      <c r="H515" s="5">
        <v>100471532</v>
      </c>
      <c r="I515" s="14">
        <v>41983</v>
      </c>
      <c r="J515" s="5">
        <v>614</v>
      </c>
      <c r="K515" s="15">
        <v>255.28</v>
      </c>
      <c r="L515" s="15">
        <v>159.41999999999999</v>
      </c>
      <c r="M515" s="15">
        <v>156741.92000000001</v>
      </c>
      <c r="N515" s="15">
        <v>97883.87999999999</v>
      </c>
      <c r="O515" s="16">
        <v>58858.040000000023</v>
      </c>
    </row>
    <row r="516" spans="2:15" ht="18.75" hidden="1" x14ac:dyDescent="0.25">
      <c r="B516" s="4" t="s">
        <v>72</v>
      </c>
      <c r="C516" s="5" t="s">
        <v>198</v>
      </c>
      <c r="D516" s="5" t="s">
        <v>100</v>
      </c>
      <c r="E516" s="5" t="s">
        <v>132</v>
      </c>
      <c r="F516" s="5" t="s">
        <v>63</v>
      </c>
      <c r="G516" s="14">
        <v>41392</v>
      </c>
      <c r="H516" s="5">
        <v>100472819</v>
      </c>
      <c r="I516" s="14">
        <v>41423</v>
      </c>
      <c r="J516" s="5">
        <v>995</v>
      </c>
      <c r="K516" s="15">
        <v>205.7</v>
      </c>
      <c r="L516" s="15">
        <v>117.11</v>
      </c>
      <c r="M516" s="15">
        <v>204671.5</v>
      </c>
      <c r="N516" s="15">
        <v>116524.45</v>
      </c>
      <c r="O516" s="16">
        <v>88147.05</v>
      </c>
    </row>
    <row r="517" spans="2:15" ht="18.75" hidden="1" x14ac:dyDescent="0.25">
      <c r="B517" s="4" t="s">
        <v>51</v>
      </c>
      <c r="C517" s="5" t="s">
        <v>161</v>
      </c>
      <c r="D517" s="5" t="s">
        <v>58</v>
      </c>
      <c r="E517" s="5" t="s">
        <v>132</v>
      </c>
      <c r="F517" s="5" t="s">
        <v>59</v>
      </c>
      <c r="G517" s="14">
        <v>43119</v>
      </c>
      <c r="H517" s="5">
        <v>100474965</v>
      </c>
      <c r="I517" s="14">
        <v>43128</v>
      </c>
      <c r="J517" s="5">
        <v>1630</v>
      </c>
      <c r="K517" s="15">
        <v>255.28</v>
      </c>
      <c r="L517" s="15">
        <v>159.41999999999999</v>
      </c>
      <c r="M517" s="15">
        <v>416106.4</v>
      </c>
      <c r="N517" s="15">
        <v>259854.59999999998</v>
      </c>
      <c r="O517" s="16">
        <v>156251.80000000005</v>
      </c>
    </row>
    <row r="518" spans="2:15" ht="18.75" hidden="1" x14ac:dyDescent="0.25">
      <c r="B518" s="4" t="s">
        <v>81</v>
      </c>
      <c r="C518" s="5" t="s">
        <v>216</v>
      </c>
      <c r="D518" s="5" t="s">
        <v>96</v>
      </c>
      <c r="E518" s="5" t="s">
        <v>132</v>
      </c>
      <c r="F518" s="5" t="s">
        <v>59</v>
      </c>
      <c r="G518" s="14">
        <v>40298</v>
      </c>
      <c r="H518" s="5">
        <v>100475394</v>
      </c>
      <c r="I518" s="14">
        <v>40303</v>
      </c>
      <c r="J518" s="5">
        <v>1757</v>
      </c>
      <c r="K518" s="15">
        <v>154.06</v>
      </c>
      <c r="L518" s="15">
        <v>90.93</v>
      </c>
      <c r="M518" s="15">
        <v>270683.42</v>
      </c>
      <c r="N518" s="15">
        <v>159764.01</v>
      </c>
      <c r="O518" s="16">
        <v>110919.40999999997</v>
      </c>
    </row>
    <row r="519" spans="2:15" ht="18.75" hidden="1" x14ac:dyDescent="0.25">
      <c r="B519" s="4" t="s">
        <v>60</v>
      </c>
      <c r="C519" s="5" t="s">
        <v>201</v>
      </c>
      <c r="D519" s="5" t="s">
        <v>68</v>
      </c>
      <c r="E519" s="5" t="s">
        <v>132</v>
      </c>
      <c r="F519" s="5" t="s">
        <v>63</v>
      </c>
      <c r="G519" s="14">
        <v>41435</v>
      </c>
      <c r="H519" s="5">
        <v>100475823</v>
      </c>
      <c r="I519" s="14">
        <v>41436</v>
      </c>
      <c r="J519" s="5">
        <v>1884</v>
      </c>
      <c r="K519" s="15">
        <v>109.28</v>
      </c>
      <c r="L519" s="15">
        <v>35.840000000000003</v>
      </c>
      <c r="M519" s="15">
        <v>205883.51999999999</v>
      </c>
      <c r="N519" s="15">
        <v>67522.560000000012</v>
      </c>
      <c r="O519" s="16">
        <v>138360.95999999996</v>
      </c>
    </row>
    <row r="520" spans="2:15" ht="18.75" hidden="1" x14ac:dyDescent="0.25">
      <c r="B520" s="4" t="s">
        <v>81</v>
      </c>
      <c r="C520" s="5" t="s">
        <v>117</v>
      </c>
      <c r="D520" s="5" t="s">
        <v>76</v>
      </c>
      <c r="E520" s="5" t="s">
        <v>132</v>
      </c>
      <c r="F520" s="5" t="s">
        <v>55</v>
      </c>
      <c r="G520" s="14">
        <v>43709</v>
      </c>
      <c r="H520" s="5">
        <v>100476682</v>
      </c>
      <c r="I520" s="14">
        <v>43752</v>
      </c>
      <c r="J520" s="5">
        <v>2138</v>
      </c>
      <c r="K520" s="15">
        <v>421.89</v>
      </c>
      <c r="L520" s="15">
        <v>364.69</v>
      </c>
      <c r="M520" s="15">
        <v>902000.82</v>
      </c>
      <c r="N520" s="15">
        <v>779707.22</v>
      </c>
      <c r="O520" s="16">
        <v>122293.59999999998</v>
      </c>
    </row>
    <row r="521" spans="2:15" ht="18.75" hidden="1" x14ac:dyDescent="0.25">
      <c r="B521" s="4" t="s">
        <v>72</v>
      </c>
      <c r="C521" s="5" t="s">
        <v>250</v>
      </c>
      <c r="D521" s="5" t="s">
        <v>53</v>
      </c>
      <c r="E521" s="5" t="s">
        <v>132</v>
      </c>
      <c r="F521" s="5" t="s">
        <v>70</v>
      </c>
      <c r="G521" s="14">
        <v>42025</v>
      </c>
      <c r="H521" s="5">
        <v>100477540</v>
      </c>
      <c r="I521" s="14">
        <v>42059</v>
      </c>
      <c r="J521" s="5">
        <v>2392</v>
      </c>
      <c r="K521" s="15">
        <v>9.33</v>
      </c>
      <c r="L521" s="15">
        <v>6.92</v>
      </c>
      <c r="M521" s="15">
        <v>22317.360000000001</v>
      </c>
      <c r="N521" s="15">
        <v>16552.64</v>
      </c>
      <c r="O521" s="16">
        <v>5764.7200000000012</v>
      </c>
    </row>
    <row r="522" spans="2:15" ht="18.75" hidden="1" x14ac:dyDescent="0.25">
      <c r="B522" s="4" t="s">
        <v>56</v>
      </c>
      <c r="C522" s="5" t="s">
        <v>218</v>
      </c>
      <c r="D522" s="5" t="s">
        <v>80</v>
      </c>
      <c r="E522" s="5" t="s">
        <v>132</v>
      </c>
      <c r="F522" s="5" t="s">
        <v>59</v>
      </c>
      <c r="G522" s="14">
        <v>43162</v>
      </c>
      <c r="H522" s="5">
        <v>100477969</v>
      </c>
      <c r="I522" s="14">
        <v>43192</v>
      </c>
      <c r="J522" s="5">
        <v>2519</v>
      </c>
      <c r="K522" s="15">
        <v>668.27</v>
      </c>
      <c r="L522" s="15">
        <v>502.54</v>
      </c>
      <c r="M522" s="15">
        <v>1683372.13</v>
      </c>
      <c r="N522" s="15">
        <v>1265898.26</v>
      </c>
      <c r="O522" s="16">
        <v>417473.86999999988</v>
      </c>
    </row>
    <row r="523" spans="2:15" ht="18.75" hidden="1" x14ac:dyDescent="0.25">
      <c r="B523" s="4" t="s">
        <v>81</v>
      </c>
      <c r="C523" s="5" t="s">
        <v>231</v>
      </c>
      <c r="D523" s="5" t="s">
        <v>80</v>
      </c>
      <c r="E523" s="5" t="s">
        <v>132</v>
      </c>
      <c r="F523" s="5" t="s">
        <v>59</v>
      </c>
      <c r="G523" s="14">
        <v>40384</v>
      </c>
      <c r="H523" s="5">
        <v>100481402</v>
      </c>
      <c r="I523" s="14">
        <v>40430</v>
      </c>
      <c r="J523" s="5">
        <v>3535</v>
      </c>
      <c r="K523" s="15">
        <v>668.27</v>
      </c>
      <c r="L523" s="15">
        <v>502.54</v>
      </c>
      <c r="M523" s="15">
        <v>2362334.4499999997</v>
      </c>
      <c r="N523" s="15">
        <v>1776478.9000000001</v>
      </c>
      <c r="O523" s="16">
        <v>585855.54999999958</v>
      </c>
    </row>
    <row r="524" spans="2:15" ht="18.75" hidden="1" x14ac:dyDescent="0.25">
      <c r="B524" s="4" t="s">
        <v>74</v>
      </c>
      <c r="C524" s="5" t="s">
        <v>123</v>
      </c>
      <c r="D524" s="5" t="s">
        <v>58</v>
      </c>
      <c r="E524" s="5" t="s">
        <v>132</v>
      </c>
      <c r="F524" s="5" t="s">
        <v>63</v>
      </c>
      <c r="G524" s="14">
        <v>41521</v>
      </c>
      <c r="H524" s="5">
        <v>100481832</v>
      </c>
      <c r="I524" s="14">
        <v>41563</v>
      </c>
      <c r="J524" s="5">
        <v>3662</v>
      </c>
      <c r="K524" s="15">
        <v>255.28</v>
      </c>
      <c r="L524" s="15">
        <v>159.41999999999999</v>
      </c>
      <c r="M524" s="15">
        <v>934835.36</v>
      </c>
      <c r="N524" s="15">
        <v>583796.03999999992</v>
      </c>
      <c r="O524" s="16">
        <v>351039.32000000007</v>
      </c>
    </row>
    <row r="525" spans="2:15" ht="18.75" hidden="1" x14ac:dyDescent="0.25">
      <c r="B525" s="4" t="s">
        <v>51</v>
      </c>
      <c r="C525" s="5" t="s">
        <v>202</v>
      </c>
      <c r="D525" s="5" t="s">
        <v>62</v>
      </c>
      <c r="E525" s="5" t="s">
        <v>132</v>
      </c>
      <c r="F525" s="5" t="s">
        <v>55</v>
      </c>
      <c r="G525" s="14">
        <v>40974</v>
      </c>
      <c r="H525" s="5">
        <v>100483119</v>
      </c>
      <c r="I525" s="14">
        <v>41002</v>
      </c>
      <c r="J525" s="5">
        <v>4043</v>
      </c>
      <c r="K525" s="15">
        <v>437.2</v>
      </c>
      <c r="L525" s="15">
        <v>263.33</v>
      </c>
      <c r="M525" s="15">
        <v>1767599.5999999999</v>
      </c>
      <c r="N525" s="15">
        <v>1064643.19</v>
      </c>
      <c r="O525" s="16">
        <v>702956.40999999992</v>
      </c>
    </row>
    <row r="526" spans="2:15" ht="18.75" hidden="1" x14ac:dyDescent="0.25">
      <c r="B526" s="4" t="s">
        <v>51</v>
      </c>
      <c r="C526" s="5" t="s">
        <v>168</v>
      </c>
      <c r="D526" s="5" t="s">
        <v>53</v>
      </c>
      <c r="E526" s="5" t="s">
        <v>132</v>
      </c>
      <c r="F526" s="5" t="s">
        <v>59</v>
      </c>
      <c r="G526" s="14">
        <v>40427</v>
      </c>
      <c r="H526" s="5">
        <v>100484406</v>
      </c>
      <c r="I526" s="14">
        <v>40442</v>
      </c>
      <c r="J526" s="5">
        <v>4424</v>
      </c>
      <c r="K526" s="15">
        <v>9.33</v>
      </c>
      <c r="L526" s="15">
        <v>6.92</v>
      </c>
      <c r="M526" s="15">
        <v>41275.919999999998</v>
      </c>
      <c r="N526" s="15">
        <v>30614.079999999998</v>
      </c>
      <c r="O526" s="16">
        <v>10661.84</v>
      </c>
    </row>
    <row r="527" spans="2:15" ht="18.75" hidden="1" x14ac:dyDescent="0.25">
      <c r="B527" s="4" t="s">
        <v>81</v>
      </c>
      <c r="C527" s="5" t="s">
        <v>126</v>
      </c>
      <c r="D527" s="5" t="s">
        <v>80</v>
      </c>
      <c r="E527" s="5" t="s">
        <v>132</v>
      </c>
      <c r="F527" s="5" t="s">
        <v>59</v>
      </c>
      <c r="G527" s="14">
        <v>41564</v>
      </c>
      <c r="H527" s="5">
        <v>100484836</v>
      </c>
      <c r="I527" s="14">
        <v>41575</v>
      </c>
      <c r="J527" s="5">
        <v>4551</v>
      </c>
      <c r="K527" s="15">
        <v>668.27</v>
      </c>
      <c r="L527" s="15">
        <v>502.54</v>
      </c>
      <c r="M527" s="15">
        <v>3041296.77</v>
      </c>
      <c r="N527" s="15">
        <v>2287059.54</v>
      </c>
      <c r="O527" s="16">
        <v>754237.23</v>
      </c>
    </row>
    <row r="528" spans="2:15" ht="18.75" hidden="1" x14ac:dyDescent="0.25">
      <c r="B528" s="4" t="s">
        <v>60</v>
      </c>
      <c r="C528" s="5" t="s">
        <v>127</v>
      </c>
      <c r="D528" s="5" t="s">
        <v>58</v>
      </c>
      <c r="E528" s="5" t="s">
        <v>132</v>
      </c>
      <c r="F528" s="5" t="s">
        <v>63</v>
      </c>
      <c r="G528" s="14">
        <v>42702</v>
      </c>
      <c r="H528" s="5">
        <v>100485265</v>
      </c>
      <c r="I528" s="14">
        <v>42709</v>
      </c>
      <c r="J528" s="5">
        <v>4678</v>
      </c>
      <c r="K528" s="15">
        <v>255.28</v>
      </c>
      <c r="L528" s="15">
        <v>159.41999999999999</v>
      </c>
      <c r="M528" s="15">
        <v>1194199.8400000001</v>
      </c>
      <c r="N528" s="15">
        <v>745766.75999999989</v>
      </c>
      <c r="O528" s="16">
        <v>448433.08000000019</v>
      </c>
    </row>
    <row r="529" spans="2:15" ht="18.75" hidden="1" x14ac:dyDescent="0.25">
      <c r="B529" s="4" t="s">
        <v>81</v>
      </c>
      <c r="C529" s="5" t="s">
        <v>171</v>
      </c>
      <c r="D529" s="5" t="s">
        <v>68</v>
      </c>
      <c r="E529" s="5" t="s">
        <v>132</v>
      </c>
      <c r="F529" s="5" t="s">
        <v>55</v>
      </c>
      <c r="G529" s="14">
        <v>41017</v>
      </c>
      <c r="H529" s="5">
        <v>100486123</v>
      </c>
      <c r="I529" s="14">
        <v>41066</v>
      </c>
      <c r="J529" s="5">
        <v>4932</v>
      </c>
      <c r="K529" s="15">
        <v>109.28</v>
      </c>
      <c r="L529" s="15">
        <v>35.840000000000003</v>
      </c>
      <c r="M529" s="15">
        <v>538968.96</v>
      </c>
      <c r="N529" s="15">
        <v>176762.88</v>
      </c>
      <c r="O529" s="16">
        <v>362206.07999999996</v>
      </c>
    </row>
    <row r="530" spans="2:15" ht="18.75" hidden="1" x14ac:dyDescent="0.25">
      <c r="B530" s="4" t="s">
        <v>81</v>
      </c>
      <c r="C530" s="5" t="s">
        <v>133</v>
      </c>
      <c r="D530" s="5" t="s">
        <v>78</v>
      </c>
      <c r="E530" s="5" t="s">
        <v>132</v>
      </c>
      <c r="F530" s="5" t="s">
        <v>59</v>
      </c>
      <c r="G530" s="14">
        <v>40470</v>
      </c>
      <c r="H530" s="5">
        <v>100487411</v>
      </c>
      <c r="I530" s="14">
        <v>40506</v>
      </c>
      <c r="J530" s="5">
        <v>5313</v>
      </c>
      <c r="K530" s="15">
        <v>47.45</v>
      </c>
      <c r="L530" s="15">
        <v>31.79</v>
      </c>
      <c r="M530" s="15">
        <v>252101.85</v>
      </c>
      <c r="N530" s="15">
        <v>168900.27</v>
      </c>
      <c r="O530" s="16">
        <v>83201.580000000016</v>
      </c>
    </row>
    <row r="531" spans="2:15" ht="18.75" hidden="1" x14ac:dyDescent="0.25">
      <c r="B531" s="4" t="s">
        <v>72</v>
      </c>
      <c r="C531" s="5" t="s">
        <v>173</v>
      </c>
      <c r="D531" s="5" t="s">
        <v>80</v>
      </c>
      <c r="E531" s="5" t="s">
        <v>132</v>
      </c>
      <c r="F531" s="5" t="s">
        <v>63</v>
      </c>
      <c r="G531" s="14">
        <v>42745</v>
      </c>
      <c r="H531" s="5">
        <v>100488269</v>
      </c>
      <c r="I531" s="14">
        <v>42772</v>
      </c>
      <c r="J531" s="5">
        <v>5567</v>
      </c>
      <c r="K531" s="15">
        <v>668.27</v>
      </c>
      <c r="L531" s="15">
        <v>502.54</v>
      </c>
      <c r="M531" s="15">
        <v>3720259.09</v>
      </c>
      <c r="N531" s="15">
        <v>2797640.18</v>
      </c>
      <c r="O531" s="16">
        <v>922618.90999999968</v>
      </c>
    </row>
    <row r="532" spans="2:15" ht="18.75" x14ac:dyDescent="0.25">
      <c r="B532" s="4" t="s">
        <v>56</v>
      </c>
      <c r="C532" s="5" t="s">
        <v>135</v>
      </c>
      <c r="D532" s="5" t="s">
        <v>58</v>
      </c>
      <c r="E532" s="5" t="s">
        <v>132</v>
      </c>
      <c r="F532" s="5" t="s">
        <v>63</v>
      </c>
      <c r="G532" s="14">
        <v>43882</v>
      </c>
      <c r="H532" s="5">
        <v>100488698</v>
      </c>
      <c r="I532" s="14">
        <v>43905</v>
      </c>
      <c r="J532" s="5">
        <v>5694</v>
      </c>
      <c r="K532" s="15">
        <v>255.28</v>
      </c>
      <c r="L532" s="15">
        <v>159.41999999999999</v>
      </c>
      <c r="M532" s="15">
        <v>1453564.32</v>
      </c>
      <c r="N532" s="15">
        <v>907737.48</v>
      </c>
      <c r="O532" s="16">
        <v>545826.84000000008</v>
      </c>
    </row>
    <row r="533" spans="2:15" ht="18.75" hidden="1" x14ac:dyDescent="0.25">
      <c r="B533" s="4" t="s">
        <v>51</v>
      </c>
      <c r="C533" s="5" t="s">
        <v>136</v>
      </c>
      <c r="D533" s="5" t="s">
        <v>65</v>
      </c>
      <c r="E533" s="5" t="s">
        <v>132</v>
      </c>
      <c r="F533" s="5" t="s">
        <v>55</v>
      </c>
      <c r="G533" s="14">
        <v>41060</v>
      </c>
      <c r="H533" s="5">
        <v>100489127</v>
      </c>
      <c r="I533" s="14">
        <v>41078</v>
      </c>
      <c r="J533" s="5">
        <v>5821</v>
      </c>
      <c r="K533" s="15">
        <v>651.21</v>
      </c>
      <c r="L533" s="15">
        <v>524.96</v>
      </c>
      <c r="M533" s="15">
        <v>3790693.41</v>
      </c>
      <c r="N533" s="15">
        <v>3055792.16</v>
      </c>
      <c r="O533" s="16">
        <v>734901.25</v>
      </c>
    </row>
    <row r="534" spans="2:15" ht="18.75" hidden="1" x14ac:dyDescent="0.25">
      <c r="B534" s="4" t="s">
        <v>51</v>
      </c>
      <c r="C534" s="5" t="s">
        <v>137</v>
      </c>
      <c r="D534" s="5" t="s">
        <v>76</v>
      </c>
      <c r="E534" s="5" t="s">
        <v>132</v>
      </c>
      <c r="F534" s="5" t="s">
        <v>59</v>
      </c>
      <c r="G534" s="14">
        <v>40513</v>
      </c>
      <c r="H534" s="5">
        <v>100490415</v>
      </c>
      <c r="I534" s="14">
        <v>40518</v>
      </c>
      <c r="J534" s="5">
        <v>6202</v>
      </c>
      <c r="K534" s="15">
        <v>421.89</v>
      </c>
      <c r="L534" s="15">
        <v>364.69</v>
      </c>
      <c r="M534" s="15">
        <v>2616561.7799999998</v>
      </c>
      <c r="N534" s="15">
        <v>2261807.38</v>
      </c>
      <c r="O534" s="16">
        <v>354754.39999999991</v>
      </c>
    </row>
    <row r="535" spans="2:15" ht="18.75" hidden="1" x14ac:dyDescent="0.25">
      <c r="B535" s="4" t="s">
        <v>81</v>
      </c>
      <c r="C535" s="5" t="s">
        <v>138</v>
      </c>
      <c r="D535" s="5" t="s">
        <v>78</v>
      </c>
      <c r="E535" s="5" t="s">
        <v>132</v>
      </c>
      <c r="F535" s="5" t="s">
        <v>59</v>
      </c>
      <c r="G535" s="14">
        <v>41651</v>
      </c>
      <c r="H535" s="5">
        <v>100490844</v>
      </c>
      <c r="I535" s="14">
        <v>41652</v>
      </c>
      <c r="J535" s="5">
        <v>6329</v>
      </c>
      <c r="K535" s="15">
        <v>47.45</v>
      </c>
      <c r="L535" s="15">
        <v>31.79</v>
      </c>
      <c r="M535" s="15">
        <v>300311.05000000005</v>
      </c>
      <c r="N535" s="15">
        <v>201198.91</v>
      </c>
      <c r="O535" s="16">
        <v>99112.140000000043</v>
      </c>
    </row>
    <row r="536" spans="2:15" ht="18.75" hidden="1" x14ac:dyDescent="0.25">
      <c r="B536" s="4" t="s">
        <v>60</v>
      </c>
      <c r="C536" s="5" t="s">
        <v>254</v>
      </c>
      <c r="D536" s="5" t="s">
        <v>53</v>
      </c>
      <c r="E536" s="5" t="s">
        <v>132</v>
      </c>
      <c r="F536" s="5" t="s">
        <v>63</v>
      </c>
      <c r="G536" s="14">
        <v>42788</v>
      </c>
      <c r="H536" s="5">
        <v>100491273</v>
      </c>
      <c r="I536" s="14">
        <v>42836</v>
      </c>
      <c r="J536" s="5">
        <v>6456</v>
      </c>
      <c r="K536" s="15">
        <v>9.33</v>
      </c>
      <c r="L536" s="15">
        <v>6.92</v>
      </c>
      <c r="M536" s="15">
        <v>60234.48</v>
      </c>
      <c r="N536" s="15">
        <v>44675.519999999997</v>
      </c>
      <c r="O536" s="16">
        <v>15558.960000000006</v>
      </c>
    </row>
    <row r="537" spans="2:15" ht="18.75" hidden="1" x14ac:dyDescent="0.25">
      <c r="B537" s="4" t="s">
        <v>81</v>
      </c>
      <c r="C537" s="5" t="s">
        <v>140</v>
      </c>
      <c r="D537" s="5" t="s">
        <v>58</v>
      </c>
      <c r="E537" s="5" t="s">
        <v>132</v>
      </c>
      <c r="F537" s="5" t="s">
        <v>55</v>
      </c>
      <c r="G537" s="14">
        <v>41104</v>
      </c>
      <c r="H537" s="5">
        <v>100492131</v>
      </c>
      <c r="I537" s="14">
        <v>41143</v>
      </c>
      <c r="J537" s="5">
        <v>6710</v>
      </c>
      <c r="K537" s="15">
        <v>255.28</v>
      </c>
      <c r="L537" s="15">
        <v>159.41999999999999</v>
      </c>
      <c r="M537" s="15">
        <v>1712928.8</v>
      </c>
      <c r="N537" s="15">
        <v>1069708.2</v>
      </c>
      <c r="O537" s="16">
        <v>643220.60000000009</v>
      </c>
    </row>
    <row r="538" spans="2:15" ht="18.75" hidden="1" x14ac:dyDescent="0.25">
      <c r="B538" s="4" t="s">
        <v>81</v>
      </c>
      <c r="C538" s="5" t="s">
        <v>142</v>
      </c>
      <c r="D538" s="5" t="s">
        <v>78</v>
      </c>
      <c r="E538" s="5" t="s">
        <v>132</v>
      </c>
      <c r="F538" s="5" t="s">
        <v>59</v>
      </c>
      <c r="G538" s="14">
        <v>42831</v>
      </c>
      <c r="H538" s="5">
        <v>100494277</v>
      </c>
      <c r="I538" s="14">
        <v>42848</v>
      </c>
      <c r="J538" s="5">
        <v>7345</v>
      </c>
      <c r="K538" s="15">
        <v>47.45</v>
      </c>
      <c r="L538" s="15">
        <v>31.79</v>
      </c>
      <c r="M538" s="15">
        <v>348520.25</v>
      </c>
      <c r="N538" s="15">
        <v>233497.55</v>
      </c>
      <c r="O538" s="16">
        <v>115022.70000000001</v>
      </c>
    </row>
    <row r="539" spans="2:15" ht="18.75" hidden="1" x14ac:dyDescent="0.25">
      <c r="B539" s="4" t="s">
        <v>51</v>
      </c>
      <c r="C539" s="5" t="s">
        <v>240</v>
      </c>
      <c r="D539" s="5" t="s">
        <v>80</v>
      </c>
      <c r="E539" s="5" t="s">
        <v>132</v>
      </c>
      <c r="F539" s="5" t="s">
        <v>55</v>
      </c>
      <c r="G539" s="14">
        <v>41147</v>
      </c>
      <c r="H539" s="5">
        <v>100495135</v>
      </c>
      <c r="I539" s="14">
        <v>41155</v>
      </c>
      <c r="J539" s="5">
        <v>7599</v>
      </c>
      <c r="K539" s="15">
        <v>668.27</v>
      </c>
      <c r="L539" s="15">
        <v>502.54</v>
      </c>
      <c r="M539" s="15">
        <v>5078183.7299999995</v>
      </c>
      <c r="N539" s="15">
        <v>3818801.46</v>
      </c>
      <c r="O539" s="16">
        <v>1259382.2699999996</v>
      </c>
    </row>
    <row r="540" spans="2:15" ht="18.75" hidden="1" x14ac:dyDescent="0.25">
      <c r="B540" s="4" t="s">
        <v>51</v>
      </c>
      <c r="C540" s="5" t="s">
        <v>177</v>
      </c>
      <c r="D540" s="5" t="s">
        <v>88</v>
      </c>
      <c r="E540" s="5" t="s">
        <v>132</v>
      </c>
      <c r="F540" s="5" t="s">
        <v>70</v>
      </c>
      <c r="G540" s="14">
        <v>40600</v>
      </c>
      <c r="H540" s="5">
        <v>100496423</v>
      </c>
      <c r="I540" s="14">
        <v>40646</v>
      </c>
      <c r="J540" s="5">
        <v>7980</v>
      </c>
      <c r="K540" s="15">
        <v>152.58000000000001</v>
      </c>
      <c r="L540" s="15">
        <v>97.44</v>
      </c>
      <c r="M540" s="15">
        <v>1217588.4000000001</v>
      </c>
      <c r="N540" s="15">
        <v>777571.2</v>
      </c>
      <c r="O540" s="16">
        <v>440017.20000000019</v>
      </c>
    </row>
    <row r="541" spans="2:15" ht="18.75" hidden="1" x14ac:dyDescent="0.25">
      <c r="B541" s="4" t="s">
        <v>72</v>
      </c>
      <c r="C541" s="5" t="s">
        <v>223</v>
      </c>
      <c r="D541" s="5" t="s">
        <v>78</v>
      </c>
      <c r="E541" s="5" t="s">
        <v>132</v>
      </c>
      <c r="F541" s="5" t="s">
        <v>63</v>
      </c>
      <c r="G541" s="14">
        <v>44012</v>
      </c>
      <c r="H541" s="5">
        <v>100497710</v>
      </c>
      <c r="I541" s="14">
        <v>44045</v>
      </c>
      <c r="J541" s="5">
        <v>8361</v>
      </c>
      <c r="K541" s="15">
        <v>47.45</v>
      </c>
      <c r="L541" s="15">
        <v>31.79</v>
      </c>
      <c r="M541" s="15">
        <v>396729.45</v>
      </c>
      <c r="N541" s="15">
        <v>265796.19</v>
      </c>
      <c r="O541" s="16">
        <v>130933.26000000001</v>
      </c>
    </row>
    <row r="542" spans="2:15" ht="18.75" hidden="1" x14ac:dyDescent="0.25">
      <c r="B542" s="4" t="s">
        <v>51</v>
      </c>
      <c r="C542" s="5" t="s">
        <v>64</v>
      </c>
      <c r="D542" s="5" t="s">
        <v>80</v>
      </c>
      <c r="E542" s="5" t="s">
        <v>132</v>
      </c>
      <c r="F542" s="5" t="s">
        <v>55</v>
      </c>
      <c r="G542" s="14">
        <v>42327</v>
      </c>
      <c r="H542" s="5">
        <v>100498569</v>
      </c>
      <c r="I542" s="14">
        <v>42352</v>
      </c>
      <c r="J542" s="5">
        <v>8615</v>
      </c>
      <c r="K542" s="15">
        <v>668.27</v>
      </c>
      <c r="L542" s="15">
        <v>502.54</v>
      </c>
      <c r="M542" s="15">
        <v>5757146.0499999998</v>
      </c>
      <c r="N542" s="15">
        <v>4329382.1000000006</v>
      </c>
      <c r="O542" s="16">
        <v>1427763.9499999993</v>
      </c>
    </row>
    <row r="543" spans="2:15" ht="18.75" hidden="1" x14ac:dyDescent="0.25">
      <c r="B543" s="4" t="s">
        <v>66</v>
      </c>
      <c r="C543" s="5" t="s">
        <v>67</v>
      </c>
      <c r="D543" s="5" t="s">
        <v>100</v>
      </c>
      <c r="E543" s="5" t="s">
        <v>132</v>
      </c>
      <c r="F543" s="5" t="s">
        <v>55</v>
      </c>
      <c r="G543" s="14">
        <v>43465</v>
      </c>
      <c r="H543" s="5">
        <v>100498998</v>
      </c>
      <c r="I543" s="14">
        <v>43485</v>
      </c>
      <c r="J543" s="5">
        <v>8742</v>
      </c>
      <c r="K543" s="15">
        <v>205.7</v>
      </c>
      <c r="L543" s="15">
        <v>117.11</v>
      </c>
      <c r="M543" s="15">
        <v>1798229.4</v>
      </c>
      <c r="N543" s="15">
        <v>1023775.62</v>
      </c>
      <c r="O543" s="16">
        <v>774453.77999999991</v>
      </c>
    </row>
    <row r="544" spans="2:15" ht="18.75" hidden="1" x14ac:dyDescent="0.25">
      <c r="B544" s="4" t="s">
        <v>51</v>
      </c>
      <c r="C544" s="5" t="s">
        <v>234</v>
      </c>
      <c r="D544" s="5" t="s">
        <v>78</v>
      </c>
      <c r="E544" s="5" t="s">
        <v>132</v>
      </c>
      <c r="F544" s="5" t="s">
        <v>63</v>
      </c>
      <c r="G544" s="14">
        <v>41233</v>
      </c>
      <c r="H544" s="5">
        <v>100501143</v>
      </c>
      <c r="I544" s="14">
        <v>41282</v>
      </c>
      <c r="J544" s="5">
        <v>9377</v>
      </c>
      <c r="K544" s="15">
        <v>47.45</v>
      </c>
      <c r="L544" s="15">
        <v>31.79</v>
      </c>
      <c r="M544" s="15">
        <v>444938.65</v>
      </c>
      <c r="N544" s="15">
        <v>298094.83</v>
      </c>
      <c r="O544" s="16">
        <v>146843.82</v>
      </c>
    </row>
    <row r="545" spans="2:15" ht="18.75" hidden="1" x14ac:dyDescent="0.25">
      <c r="B545" s="4" t="s">
        <v>60</v>
      </c>
      <c r="C545" s="5" t="s">
        <v>71</v>
      </c>
      <c r="D545" s="5" t="s">
        <v>80</v>
      </c>
      <c r="E545" s="5" t="s">
        <v>132</v>
      </c>
      <c r="F545" s="5" t="s">
        <v>55</v>
      </c>
      <c r="G545" s="14">
        <v>43508</v>
      </c>
      <c r="H545" s="5">
        <v>100502002</v>
      </c>
      <c r="I545" s="14">
        <v>43549</v>
      </c>
      <c r="J545" s="5">
        <v>9631</v>
      </c>
      <c r="K545" s="15">
        <v>668.27</v>
      </c>
      <c r="L545" s="15">
        <v>502.54</v>
      </c>
      <c r="M545" s="15">
        <v>6436108.3700000001</v>
      </c>
      <c r="N545" s="15">
        <v>4839962.74</v>
      </c>
      <c r="O545" s="16">
        <v>1596145.63</v>
      </c>
    </row>
    <row r="546" spans="2:15" ht="18.75" hidden="1" x14ac:dyDescent="0.25">
      <c r="B546" s="4" t="s">
        <v>81</v>
      </c>
      <c r="C546" s="5" t="s">
        <v>150</v>
      </c>
      <c r="D546" s="5" t="s">
        <v>65</v>
      </c>
      <c r="E546" s="5" t="s">
        <v>132</v>
      </c>
      <c r="F546" s="5" t="s">
        <v>70</v>
      </c>
      <c r="G546" s="14">
        <v>41823</v>
      </c>
      <c r="H546" s="5">
        <v>100502860</v>
      </c>
      <c r="I546" s="14">
        <v>41855</v>
      </c>
      <c r="J546" s="5">
        <v>9885</v>
      </c>
      <c r="K546" s="15">
        <v>651.21</v>
      </c>
      <c r="L546" s="15">
        <v>524.96</v>
      </c>
      <c r="M546" s="15">
        <v>6437210.8500000006</v>
      </c>
      <c r="N546" s="15">
        <v>5189229.6000000006</v>
      </c>
      <c r="O546" s="16">
        <v>1247981.25</v>
      </c>
    </row>
    <row r="547" spans="2:15" ht="18.75" x14ac:dyDescent="0.25">
      <c r="B547" s="4" t="s">
        <v>72</v>
      </c>
      <c r="C547" s="5" t="s">
        <v>77</v>
      </c>
      <c r="D547" s="5" t="s">
        <v>62</v>
      </c>
      <c r="E547" s="5" t="s">
        <v>132</v>
      </c>
      <c r="F547" s="5" t="s">
        <v>59</v>
      </c>
      <c r="G547" s="14">
        <v>44098</v>
      </c>
      <c r="H547" s="5">
        <v>100503718</v>
      </c>
      <c r="I547" s="14">
        <v>44121</v>
      </c>
      <c r="J547" s="5">
        <v>139</v>
      </c>
      <c r="K547" s="15">
        <v>437.2</v>
      </c>
      <c r="L547" s="15">
        <v>263.33</v>
      </c>
      <c r="M547" s="15">
        <v>60770.799999999996</v>
      </c>
      <c r="N547" s="15">
        <v>36602.869999999995</v>
      </c>
      <c r="O547" s="16">
        <v>24167.93</v>
      </c>
    </row>
    <row r="548" spans="2:15" ht="18.75" hidden="1" x14ac:dyDescent="0.25">
      <c r="B548" s="4" t="s">
        <v>56</v>
      </c>
      <c r="C548" s="5" t="s">
        <v>183</v>
      </c>
      <c r="D548" s="5" t="s">
        <v>93</v>
      </c>
      <c r="E548" s="5" t="s">
        <v>132</v>
      </c>
      <c r="F548" s="5" t="s">
        <v>63</v>
      </c>
      <c r="G548" s="14">
        <v>41276</v>
      </c>
      <c r="H548" s="5">
        <v>100504148</v>
      </c>
      <c r="I548" s="14">
        <v>41295</v>
      </c>
      <c r="J548" s="5">
        <v>266</v>
      </c>
      <c r="K548" s="15">
        <v>81.73</v>
      </c>
      <c r="L548" s="15">
        <v>56.67</v>
      </c>
      <c r="M548" s="15">
        <v>21740.18</v>
      </c>
      <c r="N548" s="15">
        <v>15074.220000000001</v>
      </c>
      <c r="O548" s="16">
        <v>6665.9599999999991</v>
      </c>
    </row>
    <row r="549" spans="2:15" ht="18.75" hidden="1" x14ac:dyDescent="0.25">
      <c r="B549" s="4" t="s">
        <v>51</v>
      </c>
      <c r="C549" s="5" t="s">
        <v>151</v>
      </c>
      <c r="D549" s="5" t="s">
        <v>78</v>
      </c>
      <c r="E549" s="5" t="s">
        <v>132</v>
      </c>
      <c r="F549" s="5" t="s">
        <v>63</v>
      </c>
      <c r="G549" s="14">
        <v>42414</v>
      </c>
      <c r="H549" s="5">
        <v>100504577</v>
      </c>
      <c r="I549" s="14">
        <v>42429</v>
      </c>
      <c r="J549" s="5">
        <v>393</v>
      </c>
      <c r="K549" s="15">
        <v>47.45</v>
      </c>
      <c r="L549" s="15">
        <v>31.79</v>
      </c>
      <c r="M549" s="15">
        <v>18647.850000000002</v>
      </c>
      <c r="N549" s="15">
        <v>12493.47</v>
      </c>
      <c r="O549" s="16">
        <v>6154.3800000000028</v>
      </c>
    </row>
    <row r="550" spans="2:15" ht="18.75" hidden="1" x14ac:dyDescent="0.25">
      <c r="B550" s="4" t="s">
        <v>51</v>
      </c>
      <c r="C550" s="5" t="s">
        <v>154</v>
      </c>
      <c r="D550" s="5" t="s">
        <v>62</v>
      </c>
      <c r="E550" s="5" t="s">
        <v>132</v>
      </c>
      <c r="F550" s="5" t="s">
        <v>63</v>
      </c>
      <c r="G550" s="14">
        <v>41319</v>
      </c>
      <c r="H550" s="5">
        <v>100507152</v>
      </c>
      <c r="I550" s="14">
        <v>41358</v>
      </c>
      <c r="J550" s="5">
        <v>1154</v>
      </c>
      <c r="K550" s="15">
        <v>437.2</v>
      </c>
      <c r="L550" s="15">
        <v>263.33</v>
      </c>
      <c r="M550" s="15">
        <v>504528.8</v>
      </c>
      <c r="N550" s="15">
        <v>303882.82</v>
      </c>
      <c r="O550" s="16">
        <v>200645.97999999998</v>
      </c>
    </row>
    <row r="551" spans="2:15" ht="18.75" hidden="1" x14ac:dyDescent="0.25">
      <c r="B551" s="4" t="s">
        <v>81</v>
      </c>
      <c r="C551" s="5" t="s">
        <v>85</v>
      </c>
      <c r="D551" s="5" t="s">
        <v>93</v>
      </c>
      <c r="E551" s="5" t="s">
        <v>132</v>
      </c>
      <c r="F551" s="5" t="s">
        <v>63</v>
      </c>
      <c r="G551" s="14">
        <v>42457</v>
      </c>
      <c r="H551" s="5">
        <v>100507581</v>
      </c>
      <c r="I551" s="14">
        <v>42492</v>
      </c>
      <c r="J551" s="5">
        <v>1281</v>
      </c>
      <c r="K551" s="15">
        <v>81.73</v>
      </c>
      <c r="L551" s="15">
        <v>56.67</v>
      </c>
      <c r="M551" s="15">
        <v>104696.13</v>
      </c>
      <c r="N551" s="15">
        <v>72594.27</v>
      </c>
      <c r="O551" s="16">
        <v>32101.86</v>
      </c>
    </row>
    <row r="552" spans="2:15" ht="18.75" hidden="1" x14ac:dyDescent="0.25">
      <c r="B552" s="4" t="s">
        <v>72</v>
      </c>
      <c r="C552" s="5" t="s">
        <v>225</v>
      </c>
      <c r="D552" s="5" t="s">
        <v>96</v>
      </c>
      <c r="E552" s="5" t="s">
        <v>132</v>
      </c>
      <c r="F552" s="5" t="s">
        <v>55</v>
      </c>
      <c r="G552" s="14">
        <v>40772</v>
      </c>
      <c r="H552" s="5">
        <v>100508439</v>
      </c>
      <c r="I552" s="14">
        <v>40798</v>
      </c>
      <c r="J552" s="5">
        <v>1535</v>
      </c>
      <c r="K552" s="15">
        <v>154.06</v>
      </c>
      <c r="L552" s="15">
        <v>90.93</v>
      </c>
      <c r="M552" s="15">
        <v>236482.1</v>
      </c>
      <c r="N552" s="15">
        <v>139577.55000000002</v>
      </c>
      <c r="O552" s="16">
        <v>96904.549999999988</v>
      </c>
    </row>
    <row r="553" spans="2:15" ht="18.75" hidden="1" x14ac:dyDescent="0.25">
      <c r="B553" s="4" t="s">
        <v>81</v>
      </c>
      <c r="C553" s="5" t="s">
        <v>89</v>
      </c>
      <c r="D553" s="5" t="s">
        <v>65</v>
      </c>
      <c r="E553" s="5" t="s">
        <v>132</v>
      </c>
      <c r="F553" s="5" t="s">
        <v>59</v>
      </c>
      <c r="G553" s="14">
        <v>40225</v>
      </c>
      <c r="H553" s="5">
        <v>100509727</v>
      </c>
      <c r="I553" s="14">
        <v>40238</v>
      </c>
      <c r="J553" s="5">
        <v>1916</v>
      </c>
      <c r="K553" s="15">
        <v>651.21</v>
      </c>
      <c r="L553" s="15">
        <v>524.96</v>
      </c>
      <c r="M553" s="15">
        <v>1247718.3600000001</v>
      </c>
      <c r="N553" s="15">
        <v>1005823.3600000001</v>
      </c>
      <c r="O553" s="16">
        <v>241895</v>
      </c>
    </row>
    <row r="554" spans="2:15" ht="18.75" hidden="1" x14ac:dyDescent="0.25">
      <c r="B554" s="4" t="s">
        <v>56</v>
      </c>
      <c r="C554" s="5" t="s">
        <v>156</v>
      </c>
      <c r="D554" s="5" t="s">
        <v>88</v>
      </c>
      <c r="E554" s="5" t="s">
        <v>132</v>
      </c>
      <c r="F554" s="5" t="s">
        <v>63</v>
      </c>
      <c r="G554" s="14">
        <v>41363</v>
      </c>
      <c r="H554" s="5">
        <v>100510156</v>
      </c>
      <c r="I554" s="14">
        <v>41372</v>
      </c>
      <c r="J554" s="5">
        <v>2043</v>
      </c>
      <c r="K554" s="15">
        <v>152.58000000000001</v>
      </c>
      <c r="L554" s="15">
        <v>97.44</v>
      </c>
      <c r="M554" s="15">
        <v>311720.94</v>
      </c>
      <c r="N554" s="15">
        <v>199069.91999999998</v>
      </c>
      <c r="O554" s="16">
        <v>112651.02000000002</v>
      </c>
    </row>
    <row r="555" spans="2:15" ht="18.75" hidden="1" x14ac:dyDescent="0.25">
      <c r="B555" s="4" t="s">
        <v>51</v>
      </c>
      <c r="C555" s="5" t="s">
        <v>226</v>
      </c>
      <c r="D555" s="5" t="s">
        <v>62</v>
      </c>
      <c r="E555" s="5" t="s">
        <v>132</v>
      </c>
      <c r="F555" s="5" t="s">
        <v>63</v>
      </c>
      <c r="G555" s="14">
        <v>42500</v>
      </c>
      <c r="H555" s="5">
        <v>100510585</v>
      </c>
      <c r="I555" s="14">
        <v>42505</v>
      </c>
      <c r="J555" s="5">
        <v>2170</v>
      </c>
      <c r="K555" s="15">
        <v>437.2</v>
      </c>
      <c r="L555" s="15">
        <v>263.33</v>
      </c>
      <c r="M555" s="15">
        <v>948724</v>
      </c>
      <c r="N555" s="15">
        <v>571426.1</v>
      </c>
      <c r="O555" s="16">
        <v>377297.9</v>
      </c>
    </row>
    <row r="556" spans="2:15" ht="18.75" hidden="1" x14ac:dyDescent="0.25">
      <c r="B556" s="4" t="s">
        <v>81</v>
      </c>
      <c r="C556" s="5" t="s">
        <v>187</v>
      </c>
      <c r="D556" s="5" t="s">
        <v>93</v>
      </c>
      <c r="E556" s="5" t="s">
        <v>132</v>
      </c>
      <c r="F556" s="5" t="s">
        <v>55</v>
      </c>
      <c r="G556" s="14">
        <v>43637</v>
      </c>
      <c r="H556" s="5">
        <v>100511014</v>
      </c>
      <c r="I556" s="14">
        <v>43637</v>
      </c>
      <c r="J556" s="5">
        <v>2297</v>
      </c>
      <c r="K556" s="15">
        <v>81.73</v>
      </c>
      <c r="L556" s="15">
        <v>56.67</v>
      </c>
      <c r="M556" s="15">
        <v>187733.81</v>
      </c>
      <c r="N556" s="15">
        <v>130170.99</v>
      </c>
      <c r="O556" s="16">
        <v>57562.819999999992</v>
      </c>
    </row>
    <row r="557" spans="2:15" ht="18.75" hidden="1" x14ac:dyDescent="0.25">
      <c r="B557" s="4" t="s">
        <v>74</v>
      </c>
      <c r="C557" s="5" t="s">
        <v>188</v>
      </c>
      <c r="D557" s="5" t="s">
        <v>100</v>
      </c>
      <c r="E557" s="5" t="s">
        <v>132</v>
      </c>
      <c r="F557" s="5" t="s">
        <v>59</v>
      </c>
      <c r="G557" s="14">
        <v>40268</v>
      </c>
      <c r="H557" s="5">
        <v>100512731</v>
      </c>
      <c r="I557" s="14">
        <v>40302</v>
      </c>
      <c r="J557" s="5">
        <v>2805</v>
      </c>
      <c r="K557" s="15">
        <v>205.7</v>
      </c>
      <c r="L557" s="15">
        <v>117.11</v>
      </c>
      <c r="M557" s="15">
        <v>576988.5</v>
      </c>
      <c r="N557" s="15">
        <v>328493.55</v>
      </c>
      <c r="O557" s="16">
        <v>248494.95</v>
      </c>
    </row>
    <row r="558" spans="2:15" ht="18.75" hidden="1" x14ac:dyDescent="0.25">
      <c r="B558" s="4" t="s">
        <v>72</v>
      </c>
      <c r="C558" s="5" t="s">
        <v>91</v>
      </c>
      <c r="D558" s="5" t="s">
        <v>65</v>
      </c>
      <c r="E558" s="5" t="s">
        <v>132</v>
      </c>
      <c r="F558" s="5" t="s">
        <v>59</v>
      </c>
      <c r="G558" s="14">
        <v>41406</v>
      </c>
      <c r="H558" s="5">
        <v>100513160</v>
      </c>
      <c r="I558" s="14">
        <v>41435</v>
      </c>
      <c r="J558" s="5">
        <v>2932</v>
      </c>
      <c r="K558" s="15">
        <v>651.21</v>
      </c>
      <c r="L558" s="15">
        <v>524.96</v>
      </c>
      <c r="M558" s="15">
        <v>1909347.7200000002</v>
      </c>
      <c r="N558" s="15">
        <v>1539182.7200000002</v>
      </c>
      <c r="O558" s="16">
        <v>370165</v>
      </c>
    </row>
    <row r="559" spans="2:15" ht="18.75" hidden="1" x14ac:dyDescent="0.25">
      <c r="B559" s="4" t="s">
        <v>81</v>
      </c>
      <c r="C559" s="5" t="s">
        <v>158</v>
      </c>
      <c r="D559" s="5" t="s">
        <v>88</v>
      </c>
      <c r="E559" s="5" t="s">
        <v>132</v>
      </c>
      <c r="F559" s="5" t="s">
        <v>63</v>
      </c>
      <c r="G559" s="14">
        <v>42543</v>
      </c>
      <c r="H559" s="5">
        <v>100513589</v>
      </c>
      <c r="I559" s="14">
        <v>42568</v>
      </c>
      <c r="J559" s="5">
        <v>3059</v>
      </c>
      <c r="K559" s="15">
        <v>152.58000000000001</v>
      </c>
      <c r="L559" s="15">
        <v>97.44</v>
      </c>
      <c r="M559" s="15">
        <v>466742.22000000003</v>
      </c>
      <c r="N559" s="15">
        <v>298068.96000000002</v>
      </c>
      <c r="O559" s="16">
        <v>168673.26</v>
      </c>
    </row>
    <row r="560" spans="2:15" ht="18.75" hidden="1" x14ac:dyDescent="0.25">
      <c r="B560" s="4" t="s">
        <v>66</v>
      </c>
      <c r="C560" s="5" t="s">
        <v>95</v>
      </c>
      <c r="D560" s="5" t="s">
        <v>93</v>
      </c>
      <c r="E560" s="5" t="s">
        <v>132</v>
      </c>
      <c r="F560" s="5" t="s">
        <v>55</v>
      </c>
      <c r="G560" s="14">
        <v>40859</v>
      </c>
      <c r="H560" s="5">
        <v>100514447</v>
      </c>
      <c r="I560" s="14">
        <v>40875</v>
      </c>
      <c r="J560" s="5">
        <v>3313</v>
      </c>
      <c r="K560" s="15">
        <v>81.73</v>
      </c>
      <c r="L560" s="15">
        <v>56.67</v>
      </c>
      <c r="M560" s="15">
        <v>270771.49</v>
      </c>
      <c r="N560" s="15">
        <v>187747.71</v>
      </c>
      <c r="O560" s="16">
        <v>83023.78</v>
      </c>
    </row>
    <row r="561" spans="2:15" ht="18.75" hidden="1" x14ac:dyDescent="0.25">
      <c r="B561" s="4" t="s">
        <v>81</v>
      </c>
      <c r="C561" s="5" t="s">
        <v>192</v>
      </c>
      <c r="D561" s="5" t="s">
        <v>88</v>
      </c>
      <c r="E561" s="5" t="s">
        <v>132</v>
      </c>
      <c r="F561" s="5" t="s">
        <v>63</v>
      </c>
      <c r="G561" s="14">
        <v>43724</v>
      </c>
      <c r="H561" s="5">
        <v>100517022</v>
      </c>
      <c r="I561" s="14">
        <v>43765</v>
      </c>
      <c r="J561" s="5">
        <v>4075</v>
      </c>
      <c r="K561" s="15">
        <v>152.58000000000001</v>
      </c>
      <c r="L561" s="15">
        <v>97.44</v>
      </c>
      <c r="M561" s="15">
        <v>621763.5</v>
      </c>
      <c r="N561" s="15">
        <v>397068</v>
      </c>
      <c r="O561" s="16">
        <v>224695.5</v>
      </c>
    </row>
    <row r="562" spans="2:15" ht="18.75" hidden="1" x14ac:dyDescent="0.25">
      <c r="B562" s="4" t="s">
        <v>60</v>
      </c>
      <c r="C562" s="5" t="s">
        <v>217</v>
      </c>
      <c r="D562" s="5" t="s">
        <v>53</v>
      </c>
      <c r="E562" s="5" t="s">
        <v>132</v>
      </c>
      <c r="F562" s="5" t="s">
        <v>55</v>
      </c>
      <c r="G562" s="14">
        <v>40902</v>
      </c>
      <c r="H562" s="5">
        <v>100517451</v>
      </c>
      <c r="I562" s="14">
        <v>40939</v>
      </c>
      <c r="J562" s="5">
        <v>4202</v>
      </c>
      <c r="K562" s="15">
        <v>9.33</v>
      </c>
      <c r="L562" s="15">
        <v>6.92</v>
      </c>
      <c r="M562" s="15">
        <v>39204.660000000003</v>
      </c>
      <c r="N562" s="15">
        <v>29077.84</v>
      </c>
      <c r="O562" s="16">
        <v>10126.820000000003</v>
      </c>
    </row>
    <row r="563" spans="2:15" ht="18.75" hidden="1" x14ac:dyDescent="0.25">
      <c r="B563" s="4" t="s">
        <v>51</v>
      </c>
      <c r="C563" s="5" t="s">
        <v>98</v>
      </c>
      <c r="D563" s="5" t="s">
        <v>93</v>
      </c>
      <c r="E563" s="5" t="s">
        <v>132</v>
      </c>
      <c r="F563" s="5" t="s">
        <v>55</v>
      </c>
      <c r="G563" s="14">
        <v>42039</v>
      </c>
      <c r="H563" s="5">
        <v>100517880</v>
      </c>
      <c r="I563" s="14">
        <v>42071</v>
      </c>
      <c r="J563" s="5">
        <v>4329</v>
      </c>
      <c r="K563" s="15">
        <v>81.73</v>
      </c>
      <c r="L563" s="15">
        <v>56.67</v>
      </c>
      <c r="M563" s="15">
        <v>353809.17000000004</v>
      </c>
      <c r="N563" s="15">
        <v>245324.43</v>
      </c>
      <c r="O563" s="16">
        <v>108484.74000000005</v>
      </c>
    </row>
    <row r="564" spans="2:15" ht="18.75" hidden="1" x14ac:dyDescent="0.25">
      <c r="B564" s="4" t="s">
        <v>72</v>
      </c>
      <c r="C564" s="5" t="s">
        <v>250</v>
      </c>
      <c r="D564" s="5" t="s">
        <v>68</v>
      </c>
      <c r="E564" s="5" t="s">
        <v>132</v>
      </c>
      <c r="F564" s="5" t="s">
        <v>59</v>
      </c>
      <c r="G564" s="14">
        <v>41492</v>
      </c>
      <c r="H564" s="5">
        <v>100519168</v>
      </c>
      <c r="I564" s="14">
        <v>41511</v>
      </c>
      <c r="J564" s="5">
        <v>4710</v>
      </c>
      <c r="K564" s="15">
        <v>109.28</v>
      </c>
      <c r="L564" s="15">
        <v>35.840000000000003</v>
      </c>
      <c r="M564" s="15">
        <v>514708.8</v>
      </c>
      <c r="N564" s="15">
        <v>168806.40000000002</v>
      </c>
      <c r="O564" s="16">
        <v>345902.39999999997</v>
      </c>
    </row>
    <row r="565" spans="2:15" ht="18.75" hidden="1" x14ac:dyDescent="0.25">
      <c r="B565" s="4" t="s">
        <v>56</v>
      </c>
      <c r="C565" s="5" t="s">
        <v>255</v>
      </c>
      <c r="D565" s="5" t="s">
        <v>100</v>
      </c>
      <c r="E565" s="5" t="s">
        <v>132</v>
      </c>
      <c r="F565" s="5" t="s">
        <v>63</v>
      </c>
      <c r="G565" s="14">
        <v>42629</v>
      </c>
      <c r="H565" s="5">
        <v>100519597</v>
      </c>
      <c r="I565" s="14">
        <v>42644</v>
      </c>
      <c r="J565" s="5">
        <v>4837</v>
      </c>
      <c r="K565" s="15">
        <v>205.7</v>
      </c>
      <c r="L565" s="15">
        <v>117.11</v>
      </c>
      <c r="M565" s="15">
        <v>994970.89999999991</v>
      </c>
      <c r="N565" s="15">
        <v>566461.06999999995</v>
      </c>
      <c r="O565" s="16">
        <v>428509.82999999996</v>
      </c>
    </row>
    <row r="566" spans="2:15" ht="18.75" hidden="1" x14ac:dyDescent="0.25">
      <c r="B566" s="4" t="s">
        <v>51</v>
      </c>
      <c r="C566" s="5" t="s">
        <v>227</v>
      </c>
      <c r="D566" s="5" t="s">
        <v>76</v>
      </c>
      <c r="E566" s="5" t="s">
        <v>132</v>
      </c>
      <c r="F566" s="5" t="s">
        <v>63</v>
      </c>
      <c r="G566" s="14">
        <v>43767</v>
      </c>
      <c r="H566" s="5">
        <v>100520026</v>
      </c>
      <c r="I566" s="14">
        <v>43778</v>
      </c>
      <c r="J566" s="5">
        <v>4964</v>
      </c>
      <c r="K566" s="15">
        <v>421.89</v>
      </c>
      <c r="L566" s="15">
        <v>364.69</v>
      </c>
      <c r="M566" s="15">
        <v>2094261.96</v>
      </c>
      <c r="N566" s="15">
        <v>1810321.16</v>
      </c>
      <c r="O566" s="16">
        <v>283940.80000000005</v>
      </c>
    </row>
    <row r="567" spans="2:15" ht="18.75" hidden="1" x14ac:dyDescent="0.25">
      <c r="B567" s="4" t="s">
        <v>81</v>
      </c>
      <c r="C567" s="5" t="s">
        <v>102</v>
      </c>
      <c r="D567" s="5" t="s">
        <v>88</v>
      </c>
      <c r="E567" s="5" t="s">
        <v>132</v>
      </c>
      <c r="F567" s="5" t="s">
        <v>55</v>
      </c>
      <c r="G567" s="14">
        <v>40945</v>
      </c>
      <c r="H567" s="5">
        <v>100520455</v>
      </c>
      <c r="I567" s="14">
        <v>40951</v>
      </c>
      <c r="J567" s="5">
        <v>5091</v>
      </c>
      <c r="K567" s="15">
        <v>152.58000000000001</v>
      </c>
      <c r="L567" s="15">
        <v>97.44</v>
      </c>
      <c r="M567" s="15">
        <v>776784.78</v>
      </c>
      <c r="N567" s="15">
        <v>496067.04</v>
      </c>
      <c r="O567" s="16">
        <v>280717.74000000005</v>
      </c>
    </row>
    <row r="568" spans="2:15" ht="18.75" hidden="1" x14ac:dyDescent="0.25">
      <c r="B568" s="4" t="s">
        <v>60</v>
      </c>
      <c r="C568" s="5" t="s">
        <v>164</v>
      </c>
      <c r="D568" s="5" t="s">
        <v>53</v>
      </c>
      <c r="E568" s="5" t="s">
        <v>132</v>
      </c>
      <c r="F568" s="5" t="s">
        <v>55</v>
      </c>
      <c r="G568" s="14">
        <v>42082</v>
      </c>
      <c r="H568" s="5">
        <v>100520884</v>
      </c>
      <c r="I568" s="14">
        <v>42084</v>
      </c>
      <c r="J568" s="5">
        <v>5218</v>
      </c>
      <c r="K568" s="15">
        <v>9.33</v>
      </c>
      <c r="L568" s="15">
        <v>6.92</v>
      </c>
      <c r="M568" s="15">
        <v>48683.94</v>
      </c>
      <c r="N568" s="15">
        <v>36108.559999999998</v>
      </c>
      <c r="O568" s="16">
        <v>12575.380000000005</v>
      </c>
    </row>
    <row r="569" spans="2:15" ht="18.75" hidden="1" x14ac:dyDescent="0.25">
      <c r="B569" s="4" t="s">
        <v>81</v>
      </c>
      <c r="C569" s="5" t="s">
        <v>194</v>
      </c>
      <c r="D569" s="5" t="s">
        <v>58</v>
      </c>
      <c r="E569" s="5" t="s">
        <v>132</v>
      </c>
      <c r="F569" s="5" t="s">
        <v>70</v>
      </c>
      <c r="G569" s="14">
        <v>40398</v>
      </c>
      <c r="H569" s="5">
        <v>100521743</v>
      </c>
      <c r="I569" s="14">
        <v>40442</v>
      </c>
      <c r="J569" s="5">
        <v>5472</v>
      </c>
      <c r="K569" s="15">
        <v>255.28</v>
      </c>
      <c r="L569" s="15">
        <v>159.41999999999999</v>
      </c>
      <c r="M569" s="15">
        <v>1396892.16</v>
      </c>
      <c r="N569" s="15">
        <v>872346.23999999987</v>
      </c>
      <c r="O569" s="16">
        <v>524545.92000000004</v>
      </c>
    </row>
    <row r="570" spans="2:15" ht="18.75" hidden="1" x14ac:dyDescent="0.25">
      <c r="B570" s="4" t="s">
        <v>81</v>
      </c>
      <c r="C570" s="5" t="s">
        <v>103</v>
      </c>
      <c r="D570" s="5" t="s">
        <v>100</v>
      </c>
      <c r="E570" s="5" t="s">
        <v>132</v>
      </c>
      <c r="F570" s="5" t="s">
        <v>63</v>
      </c>
      <c r="G570" s="14">
        <v>43810</v>
      </c>
      <c r="H570" s="5">
        <v>100523030</v>
      </c>
      <c r="I570" s="14">
        <v>43841</v>
      </c>
      <c r="J570" s="5">
        <v>5853</v>
      </c>
      <c r="K570" s="15">
        <v>205.7</v>
      </c>
      <c r="L570" s="15">
        <v>117.11</v>
      </c>
      <c r="M570" s="15">
        <v>1203962.0999999999</v>
      </c>
      <c r="N570" s="15">
        <v>685444.83</v>
      </c>
      <c r="O570" s="16">
        <v>518517.2699999999</v>
      </c>
    </row>
    <row r="571" spans="2:15" ht="18.75" hidden="1" x14ac:dyDescent="0.25">
      <c r="B571" s="4" t="s">
        <v>74</v>
      </c>
      <c r="C571" s="5" t="s">
        <v>104</v>
      </c>
      <c r="D571" s="5" t="s">
        <v>76</v>
      </c>
      <c r="E571" s="5" t="s">
        <v>132</v>
      </c>
      <c r="F571" s="5" t="s">
        <v>63</v>
      </c>
      <c r="G571" s="14">
        <v>40988</v>
      </c>
      <c r="H571" s="5">
        <v>100523459</v>
      </c>
      <c r="I571" s="14">
        <v>41015</v>
      </c>
      <c r="J571" s="5">
        <v>5980</v>
      </c>
      <c r="K571" s="15">
        <v>421.89</v>
      </c>
      <c r="L571" s="15">
        <v>364.69</v>
      </c>
      <c r="M571" s="15">
        <v>2522902.1999999997</v>
      </c>
      <c r="N571" s="15">
        <v>2180846.2000000002</v>
      </c>
      <c r="O571" s="16">
        <v>342055.99999999953</v>
      </c>
    </row>
    <row r="572" spans="2:15" ht="18.75" hidden="1" x14ac:dyDescent="0.25">
      <c r="B572" s="4" t="s">
        <v>56</v>
      </c>
      <c r="C572" s="5" t="s">
        <v>166</v>
      </c>
      <c r="D572" s="5" t="s">
        <v>53</v>
      </c>
      <c r="E572" s="5" t="s">
        <v>132</v>
      </c>
      <c r="F572" s="5" t="s">
        <v>55</v>
      </c>
      <c r="G572" s="14">
        <v>43263</v>
      </c>
      <c r="H572" s="5">
        <v>100524318</v>
      </c>
      <c r="I572" s="14">
        <v>43281</v>
      </c>
      <c r="J572" s="5">
        <v>6234</v>
      </c>
      <c r="K572" s="15">
        <v>9.33</v>
      </c>
      <c r="L572" s="15">
        <v>6.92</v>
      </c>
      <c r="M572" s="15">
        <v>58163.22</v>
      </c>
      <c r="N572" s="15">
        <v>43139.28</v>
      </c>
      <c r="O572" s="16">
        <v>15023.940000000002</v>
      </c>
    </row>
    <row r="573" spans="2:15" ht="18.75" hidden="1" x14ac:dyDescent="0.25">
      <c r="B573" s="4" t="s">
        <v>81</v>
      </c>
      <c r="C573" s="5" t="s">
        <v>197</v>
      </c>
      <c r="D573" s="5" t="s">
        <v>58</v>
      </c>
      <c r="E573" s="5" t="s">
        <v>54</v>
      </c>
      <c r="F573" s="5" t="s">
        <v>59</v>
      </c>
      <c r="G573" s="14">
        <v>41578</v>
      </c>
      <c r="H573" s="5">
        <v>100525176</v>
      </c>
      <c r="I573" s="14">
        <v>41587</v>
      </c>
      <c r="J573" s="5">
        <v>6488</v>
      </c>
      <c r="K573" s="15">
        <v>255.28</v>
      </c>
      <c r="L573" s="15">
        <v>159.41999999999999</v>
      </c>
      <c r="M573" s="15">
        <v>1656256.64</v>
      </c>
      <c r="N573" s="15">
        <v>1034316.96</v>
      </c>
      <c r="O573" s="16">
        <v>621939.67999999993</v>
      </c>
    </row>
    <row r="574" spans="2:15" ht="18.75" hidden="1" x14ac:dyDescent="0.25">
      <c r="B574" s="4" t="s">
        <v>56</v>
      </c>
      <c r="C574" s="5" t="s">
        <v>106</v>
      </c>
      <c r="D574" s="5" t="s">
        <v>96</v>
      </c>
      <c r="E574" s="5" t="s">
        <v>54</v>
      </c>
      <c r="F574" s="5" t="s">
        <v>59</v>
      </c>
      <c r="G574" s="14">
        <v>42716</v>
      </c>
      <c r="H574" s="5">
        <v>100525605</v>
      </c>
      <c r="I574" s="14">
        <v>42721</v>
      </c>
      <c r="J574" s="5">
        <v>6615</v>
      </c>
      <c r="K574" s="15">
        <v>154.06</v>
      </c>
      <c r="L574" s="15">
        <v>90.93</v>
      </c>
      <c r="M574" s="15">
        <v>1019106.9</v>
      </c>
      <c r="N574" s="15">
        <v>601501.95000000007</v>
      </c>
      <c r="O574" s="16">
        <v>417604.94999999995</v>
      </c>
    </row>
    <row r="575" spans="2:15" ht="18.75" hidden="1" x14ac:dyDescent="0.25">
      <c r="B575" s="4" t="s">
        <v>81</v>
      </c>
      <c r="C575" s="5" t="s">
        <v>169</v>
      </c>
      <c r="D575" s="5" t="s">
        <v>100</v>
      </c>
      <c r="E575" s="5" t="s">
        <v>54</v>
      </c>
      <c r="F575" s="5" t="s">
        <v>63</v>
      </c>
      <c r="G575" s="14">
        <v>41031</v>
      </c>
      <c r="H575" s="5">
        <v>100526463</v>
      </c>
      <c r="I575" s="14">
        <v>41078</v>
      </c>
      <c r="J575" s="5">
        <v>6869</v>
      </c>
      <c r="K575" s="15">
        <v>205.7</v>
      </c>
      <c r="L575" s="15">
        <v>117.11</v>
      </c>
      <c r="M575" s="15">
        <v>1412953.2999999998</v>
      </c>
      <c r="N575" s="15">
        <v>804428.59</v>
      </c>
      <c r="O575" s="16">
        <v>608524.70999999985</v>
      </c>
    </row>
    <row r="576" spans="2:15" ht="18.75" hidden="1" x14ac:dyDescent="0.25">
      <c r="B576" s="4" t="s">
        <v>60</v>
      </c>
      <c r="C576" s="5" t="s">
        <v>228</v>
      </c>
      <c r="D576" s="5" t="s">
        <v>76</v>
      </c>
      <c r="E576" s="5" t="s">
        <v>54</v>
      </c>
      <c r="F576" s="5" t="s">
        <v>55</v>
      </c>
      <c r="G576" s="14">
        <v>42169</v>
      </c>
      <c r="H576" s="5">
        <v>100526893</v>
      </c>
      <c r="I576" s="14">
        <v>42212</v>
      </c>
      <c r="J576" s="5">
        <v>6996</v>
      </c>
      <c r="K576" s="15">
        <v>421.89</v>
      </c>
      <c r="L576" s="15">
        <v>364.69</v>
      </c>
      <c r="M576" s="15">
        <v>2951542.44</v>
      </c>
      <c r="N576" s="15">
        <v>2551371.2399999998</v>
      </c>
      <c r="O576" s="16">
        <v>400171.20000000019</v>
      </c>
    </row>
    <row r="577" spans="2:15" ht="18.75" hidden="1" x14ac:dyDescent="0.25">
      <c r="B577" s="4" t="s">
        <v>51</v>
      </c>
      <c r="C577" s="5" t="s">
        <v>244</v>
      </c>
      <c r="D577" s="5" t="s">
        <v>88</v>
      </c>
      <c r="E577" s="5" t="s">
        <v>54</v>
      </c>
      <c r="F577" s="5" t="s">
        <v>55</v>
      </c>
      <c r="G577" s="14">
        <v>43306</v>
      </c>
      <c r="H577" s="5">
        <v>100527322</v>
      </c>
      <c r="I577" s="14">
        <v>43345</v>
      </c>
      <c r="J577" s="5">
        <v>7123</v>
      </c>
      <c r="K577" s="15">
        <v>152.58000000000001</v>
      </c>
      <c r="L577" s="15">
        <v>97.44</v>
      </c>
      <c r="M577" s="15">
        <v>1086827.3400000001</v>
      </c>
      <c r="N577" s="15">
        <v>694065.12</v>
      </c>
      <c r="O577" s="16">
        <v>392762.22000000009</v>
      </c>
    </row>
    <row r="578" spans="2:15" ht="18.75" hidden="1" x14ac:dyDescent="0.25">
      <c r="B578" s="4" t="s">
        <v>81</v>
      </c>
      <c r="C578" s="5" t="s">
        <v>108</v>
      </c>
      <c r="D578" s="5" t="s">
        <v>53</v>
      </c>
      <c r="E578" s="5" t="s">
        <v>54</v>
      </c>
      <c r="F578" s="5" t="s">
        <v>70</v>
      </c>
      <c r="G578" s="14">
        <v>40484</v>
      </c>
      <c r="H578" s="5">
        <v>100527751</v>
      </c>
      <c r="I578" s="14">
        <v>40518</v>
      </c>
      <c r="J578" s="5">
        <v>7250</v>
      </c>
      <c r="K578" s="15">
        <v>9.33</v>
      </c>
      <c r="L578" s="15">
        <v>6.92</v>
      </c>
      <c r="M578" s="15">
        <v>67642.5</v>
      </c>
      <c r="N578" s="15">
        <v>50170</v>
      </c>
      <c r="O578" s="16">
        <v>17472.5</v>
      </c>
    </row>
    <row r="579" spans="2:15" ht="18.75" hidden="1" x14ac:dyDescent="0.25">
      <c r="B579" s="4" t="s">
        <v>60</v>
      </c>
      <c r="C579" s="5" t="s">
        <v>172</v>
      </c>
      <c r="D579" s="5" t="s">
        <v>93</v>
      </c>
      <c r="E579" s="5" t="s">
        <v>54</v>
      </c>
      <c r="F579" s="5" t="s">
        <v>70</v>
      </c>
      <c r="G579" s="14">
        <v>41622</v>
      </c>
      <c r="H579" s="5">
        <v>100528180</v>
      </c>
      <c r="I579" s="14">
        <v>41652</v>
      </c>
      <c r="J579" s="5">
        <v>7377</v>
      </c>
      <c r="K579" s="15">
        <v>81.73</v>
      </c>
      <c r="L579" s="15">
        <v>56.67</v>
      </c>
      <c r="M579" s="15">
        <v>602922.21000000008</v>
      </c>
      <c r="N579" s="15">
        <v>418054.59</v>
      </c>
      <c r="O579" s="16">
        <v>184867.62000000005</v>
      </c>
    </row>
    <row r="580" spans="2:15" ht="18.75" hidden="1" x14ac:dyDescent="0.25">
      <c r="B580" s="4" t="s">
        <v>72</v>
      </c>
      <c r="C580" s="5" t="s">
        <v>109</v>
      </c>
      <c r="D580" s="5" t="s">
        <v>58</v>
      </c>
      <c r="E580" s="5" t="s">
        <v>54</v>
      </c>
      <c r="F580" s="5" t="s">
        <v>59</v>
      </c>
      <c r="G580" s="14">
        <v>42759</v>
      </c>
      <c r="H580" s="5">
        <v>100528609</v>
      </c>
      <c r="I580" s="14">
        <v>42785</v>
      </c>
      <c r="J580" s="5">
        <v>7504</v>
      </c>
      <c r="K580" s="15">
        <v>255.28</v>
      </c>
      <c r="L580" s="15">
        <v>159.41999999999999</v>
      </c>
      <c r="M580" s="15">
        <v>1915621.12</v>
      </c>
      <c r="N580" s="15">
        <v>1196287.68</v>
      </c>
      <c r="O580" s="16">
        <v>719333.44000000018</v>
      </c>
    </row>
    <row r="581" spans="2:15" ht="18.75" hidden="1" x14ac:dyDescent="0.25">
      <c r="B581" s="4" t="s">
        <v>51</v>
      </c>
      <c r="C581" s="5" t="s">
        <v>113</v>
      </c>
      <c r="D581" s="5" t="s">
        <v>88</v>
      </c>
      <c r="E581" s="5" t="s">
        <v>54</v>
      </c>
      <c r="F581" s="5" t="s">
        <v>70</v>
      </c>
      <c r="G581" s="14">
        <v>40528</v>
      </c>
      <c r="H581" s="5">
        <v>100530755</v>
      </c>
      <c r="I581" s="14">
        <v>40532</v>
      </c>
      <c r="J581" s="5">
        <v>8139</v>
      </c>
      <c r="K581" s="15">
        <v>152.58000000000001</v>
      </c>
      <c r="L581" s="15">
        <v>97.44</v>
      </c>
      <c r="M581" s="15">
        <v>1241848.6200000001</v>
      </c>
      <c r="N581" s="15">
        <v>793064.16</v>
      </c>
      <c r="O581" s="16">
        <v>448784.46000000008</v>
      </c>
    </row>
    <row r="582" spans="2:15" ht="18.75" hidden="1" x14ac:dyDescent="0.25">
      <c r="B582" s="4" t="s">
        <v>60</v>
      </c>
      <c r="C582" s="5" t="s">
        <v>238</v>
      </c>
      <c r="D582" s="5" t="s">
        <v>93</v>
      </c>
      <c r="E582" s="5" t="s">
        <v>54</v>
      </c>
      <c r="F582" s="5" t="s">
        <v>59</v>
      </c>
      <c r="G582" s="14">
        <v>42802</v>
      </c>
      <c r="H582" s="5">
        <v>100531613</v>
      </c>
      <c r="I582" s="14">
        <v>42848</v>
      </c>
      <c r="J582" s="5">
        <v>8393</v>
      </c>
      <c r="K582" s="15">
        <v>81.73</v>
      </c>
      <c r="L582" s="15">
        <v>56.67</v>
      </c>
      <c r="M582" s="15">
        <v>685959.89</v>
      </c>
      <c r="N582" s="15">
        <v>475631.31</v>
      </c>
      <c r="O582" s="16">
        <v>210328.58000000002</v>
      </c>
    </row>
    <row r="583" spans="2:15" ht="18.75" x14ac:dyDescent="0.25">
      <c r="B583" s="4" t="s">
        <v>51</v>
      </c>
      <c r="C583" s="5" t="s">
        <v>114</v>
      </c>
      <c r="D583" s="5" t="s">
        <v>58</v>
      </c>
      <c r="E583" s="5" t="s">
        <v>54</v>
      </c>
      <c r="F583" s="5" t="s">
        <v>59</v>
      </c>
      <c r="G583" s="14">
        <v>43939</v>
      </c>
      <c r="H583" s="5">
        <v>100532042</v>
      </c>
      <c r="I583" s="14">
        <v>43981</v>
      </c>
      <c r="J583" s="5">
        <v>8520</v>
      </c>
      <c r="K583" s="15">
        <v>255.28</v>
      </c>
      <c r="L583" s="15">
        <v>159.41999999999999</v>
      </c>
      <c r="M583" s="15">
        <v>2174985.6</v>
      </c>
      <c r="N583" s="15">
        <v>1358258.4</v>
      </c>
      <c r="O583" s="16">
        <v>816727.20000000019</v>
      </c>
    </row>
    <row r="584" spans="2:15" ht="18.75" hidden="1" x14ac:dyDescent="0.25">
      <c r="B584" s="4" t="s">
        <v>81</v>
      </c>
      <c r="C584" s="5" t="s">
        <v>115</v>
      </c>
      <c r="D584" s="5" t="s">
        <v>96</v>
      </c>
      <c r="E584" s="5" t="s">
        <v>54</v>
      </c>
      <c r="F584" s="5" t="s">
        <v>63</v>
      </c>
      <c r="G584" s="14">
        <v>41118</v>
      </c>
      <c r="H584" s="5">
        <v>100532472</v>
      </c>
      <c r="I584" s="14">
        <v>41155</v>
      </c>
      <c r="J584" s="5">
        <v>8647</v>
      </c>
      <c r="K584" s="15">
        <v>154.06</v>
      </c>
      <c r="L584" s="15">
        <v>90.93</v>
      </c>
      <c r="M584" s="15">
        <v>1332156.82</v>
      </c>
      <c r="N584" s="15">
        <v>786271.71000000008</v>
      </c>
      <c r="O584" s="16">
        <v>545885.11</v>
      </c>
    </row>
    <row r="585" spans="2:15" ht="18.75" hidden="1" x14ac:dyDescent="0.25">
      <c r="B585" s="4" t="s">
        <v>60</v>
      </c>
      <c r="C585" s="5" t="s">
        <v>201</v>
      </c>
      <c r="D585" s="5" t="s">
        <v>68</v>
      </c>
      <c r="E585" s="5" t="s">
        <v>54</v>
      </c>
      <c r="F585" s="5" t="s">
        <v>63</v>
      </c>
      <c r="G585" s="14">
        <v>42255</v>
      </c>
      <c r="H585" s="5">
        <v>100532901</v>
      </c>
      <c r="I585" s="14">
        <v>42288</v>
      </c>
      <c r="J585" s="5">
        <v>8774</v>
      </c>
      <c r="K585" s="15">
        <v>109.28</v>
      </c>
      <c r="L585" s="15">
        <v>35.840000000000003</v>
      </c>
      <c r="M585" s="15">
        <v>958822.72</v>
      </c>
      <c r="N585" s="15">
        <v>314460.16000000003</v>
      </c>
      <c r="O585" s="16">
        <v>644362.55999999994</v>
      </c>
    </row>
    <row r="586" spans="2:15" ht="18.75" hidden="1" x14ac:dyDescent="0.25">
      <c r="B586" s="4" t="s">
        <v>51</v>
      </c>
      <c r="C586" s="5" t="s">
        <v>174</v>
      </c>
      <c r="D586" s="5" t="s">
        <v>100</v>
      </c>
      <c r="E586" s="5" t="s">
        <v>54</v>
      </c>
      <c r="F586" s="5" t="s">
        <v>55</v>
      </c>
      <c r="G586" s="14">
        <v>43392</v>
      </c>
      <c r="H586" s="5">
        <v>100533330</v>
      </c>
      <c r="I586" s="14">
        <v>43421</v>
      </c>
      <c r="J586" s="5">
        <v>8901</v>
      </c>
      <c r="K586" s="15">
        <v>205.7</v>
      </c>
      <c r="L586" s="15">
        <v>117.11</v>
      </c>
      <c r="M586" s="15">
        <v>1830935.7</v>
      </c>
      <c r="N586" s="15">
        <v>1042396.11</v>
      </c>
      <c r="O586" s="16">
        <v>788539.59</v>
      </c>
    </row>
    <row r="587" spans="2:15" ht="18.75" hidden="1" x14ac:dyDescent="0.25">
      <c r="B587" s="4" t="s">
        <v>81</v>
      </c>
      <c r="C587" s="5" t="s">
        <v>222</v>
      </c>
      <c r="D587" s="5" t="s">
        <v>76</v>
      </c>
      <c r="E587" s="5" t="s">
        <v>54</v>
      </c>
      <c r="F587" s="5" t="s">
        <v>55</v>
      </c>
      <c r="G587" s="14">
        <v>40571</v>
      </c>
      <c r="H587" s="5">
        <v>100533759</v>
      </c>
      <c r="I587" s="14">
        <v>40595</v>
      </c>
      <c r="J587" s="5">
        <v>9028</v>
      </c>
      <c r="K587" s="15">
        <v>421.89</v>
      </c>
      <c r="L587" s="15">
        <v>364.69</v>
      </c>
      <c r="M587" s="15">
        <v>3808822.92</v>
      </c>
      <c r="N587" s="15">
        <v>3292421.32</v>
      </c>
      <c r="O587" s="16">
        <v>516401.60000000009</v>
      </c>
    </row>
    <row r="588" spans="2:15" ht="18.75" hidden="1" x14ac:dyDescent="0.25">
      <c r="B588" s="4" t="s">
        <v>74</v>
      </c>
      <c r="C588" s="5" t="s">
        <v>118</v>
      </c>
      <c r="D588" s="5" t="s">
        <v>88</v>
      </c>
      <c r="E588" s="5" t="s">
        <v>54</v>
      </c>
      <c r="F588" s="5" t="s">
        <v>70</v>
      </c>
      <c r="G588" s="14">
        <v>41708</v>
      </c>
      <c r="H588" s="5">
        <v>100534188</v>
      </c>
      <c r="I588" s="14">
        <v>41728</v>
      </c>
      <c r="J588" s="5">
        <v>9155</v>
      </c>
      <c r="K588" s="15">
        <v>152.58000000000001</v>
      </c>
      <c r="L588" s="15">
        <v>97.44</v>
      </c>
      <c r="M588" s="15">
        <v>1396869.9000000001</v>
      </c>
      <c r="N588" s="15">
        <v>892063.2</v>
      </c>
      <c r="O588" s="16">
        <v>504806.70000000019</v>
      </c>
    </row>
    <row r="589" spans="2:15" ht="18.75" hidden="1" x14ac:dyDescent="0.25">
      <c r="B589" s="4" t="s">
        <v>81</v>
      </c>
      <c r="C589" s="5" t="s">
        <v>119</v>
      </c>
      <c r="D589" s="5" t="s">
        <v>65</v>
      </c>
      <c r="E589" s="5" t="s">
        <v>54</v>
      </c>
      <c r="F589" s="5" t="s">
        <v>63</v>
      </c>
      <c r="G589" s="14">
        <v>42298</v>
      </c>
      <c r="H589" s="5">
        <v>100535905</v>
      </c>
      <c r="I589" s="14">
        <v>42300</v>
      </c>
      <c r="J589" s="5">
        <v>9663</v>
      </c>
      <c r="K589" s="15">
        <v>651.21</v>
      </c>
      <c r="L589" s="15">
        <v>524.96</v>
      </c>
      <c r="M589" s="15">
        <v>6292642.2300000004</v>
      </c>
      <c r="N589" s="15">
        <v>5072688.4800000004</v>
      </c>
      <c r="O589" s="16">
        <v>1219953.75</v>
      </c>
    </row>
    <row r="590" spans="2:15" ht="18.75" hidden="1" x14ac:dyDescent="0.25">
      <c r="B590" s="4" t="s">
        <v>60</v>
      </c>
      <c r="C590" s="5" t="s">
        <v>120</v>
      </c>
      <c r="D590" s="5" t="s">
        <v>68</v>
      </c>
      <c r="E590" s="5" t="s">
        <v>54</v>
      </c>
      <c r="F590" s="5" t="s">
        <v>55</v>
      </c>
      <c r="G590" s="14">
        <v>43436</v>
      </c>
      <c r="H590" s="5">
        <v>100536334</v>
      </c>
      <c r="I590" s="14">
        <v>43485</v>
      </c>
      <c r="J590" s="5">
        <v>9790</v>
      </c>
      <c r="K590" s="15">
        <v>109.28</v>
      </c>
      <c r="L590" s="15">
        <v>35.840000000000003</v>
      </c>
      <c r="M590" s="15">
        <v>1069851.2</v>
      </c>
      <c r="N590" s="15">
        <v>350873.60000000003</v>
      </c>
      <c r="O590" s="16">
        <v>718977.59999999986</v>
      </c>
    </row>
    <row r="591" spans="2:15" ht="18.75" hidden="1" x14ac:dyDescent="0.25">
      <c r="B591" s="4" t="s">
        <v>60</v>
      </c>
      <c r="C591" s="5" t="s">
        <v>61</v>
      </c>
      <c r="D591" s="5" t="s">
        <v>78</v>
      </c>
      <c r="E591" s="5" t="s">
        <v>54</v>
      </c>
      <c r="F591" s="5" t="s">
        <v>70</v>
      </c>
      <c r="G591" s="14">
        <v>42888</v>
      </c>
      <c r="H591" s="5">
        <v>100537621</v>
      </c>
      <c r="I591" s="14">
        <v>42924</v>
      </c>
      <c r="J591" s="5">
        <v>171</v>
      </c>
      <c r="K591" s="15">
        <v>47.45</v>
      </c>
      <c r="L591" s="15">
        <v>31.79</v>
      </c>
      <c r="M591" s="15">
        <v>8113.9500000000007</v>
      </c>
      <c r="N591" s="15">
        <v>5436.09</v>
      </c>
      <c r="O591" s="16">
        <v>2677.8600000000006</v>
      </c>
    </row>
    <row r="592" spans="2:15" ht="18.75" hidden="1" x14ac:dyDescent="0.25">
      <c r="B592" s="4" t="s">
        <v>51</v>
      </c>
      <c r="C592" s="5" t="s">
        <v>122</v>
      </c>
      <c r="D592" s="5" t="s">
        <v>53</v>
      </c>
      <c r="E592" s="5" t="s">
        <v>54</v>
      </c>
      <c r="F592" s="5" t="s">
        <v>59</v>
      </c>
      <c r="G592" s="14">
        <v>44026</v>
      </c>
      <c r="H592" s="5">
        <v>100538051</v>
      </c>
      <c r="I592" s="14">
        <v>44058</v>
      </c>
      <c r="J592" s="5">
        <v>298</v>
      </c>
      <c r="K592" s="15">
        <v>9.33</v>
      </c>
      <c r="L592" s="15">
        <v>6.92</v>
      </c>
      <c r="M592" s="15">
        <v>2780.34</v>
      </c>
      <c r="N592" s="15">
        <v>2062.16</v>
      </c>
      <c r="O592" s="16">
        <v>718.18000000000029</v>
      </c>
    </row>
    <row r="593" spans="2:15" ht="18.75" hidden="1" x14ac:dyDescent="0.25">
      <c r="B593" s="4" t="s">
        <v>81</v>
      </c>
      <c r="C593" s="5" t="s">
        <v>231</v>
      </c>
      <c r="D593" s="5" t="s">
        <v>80</v>
      </c>
      <c r="E593" s="5" t="s">
        <v>54</v>
      </c>
      <c r="F593" s="5" t="s">
        <v>59</v>
      </c>
      <c r="G593" s="14">
        <v>41204</v>
      </c>
      <c r="H593" s="5">
        <v>100538480</v>
      </c>
      <c r="I593" s="14">
        <v>41231</v>
      </c>
      <c r="J593" s="5">
        <v>425</v>
      </c>
      <c r="K593" s="15">
        <v>668.27</v>
      </c>
      <c r="L593" s="15">
        <v>502.54</v>
      </c>
      <c r="M593" s="15">
        <v>284014.75</v>
      </c>
      <c r="N593" s="15">
        <v>213579.5</v>
      </c>
      <c r="O593" s="16">
        <v>70435.25</v>
      </c>
    </row>
    <row r="594" spans="2:15" ht="18.75" hidden="1" x14ac:dyDescent="0.25">
      <c r="B594" s="4" t="s">
        <v>72</v>
      </c>
      <c r="C594" s="5" t="s">
        <v>245</v>
      </c>
      <c r="D594" s="5" t="s">
        <v>65</v>
      </c>
      <c r="E594" s="5" t="s">
        <v>54</v>
      </c>
      <c r="F594" s="5" t="s">
        <v>55</v>
      </c>
      <c r="G594" s="14">
        <v>43479</v>
      </c>
      <c r="H594" s="5">
        <v>100539338</v>
      </c>
      <c r="I594" s="14">
        <v>43498</v>
      </c>
      <c r="J594" s="5">
        <v>679</v>
      </c>
      <c r="K594" s="15">
        <v>651.21</v>
      </c>
      <c r="L594" s="15">
        <v>524.96</v>
      </c>
      <c r="M594" s="15">
        <v>442171.59</v>
      </c>
      <c r="N594" s="15">
        <v>356447.84</v>
      </c>
      <c r="O594" s="16">
        <v>85723.75</v>
      </c>
    </row>
    <row r="595" spans="2:15" ht="18.75" hidden="1" x14ac:dyDescent="0.25">
      <c r="B595" s="4" t="s">
        <v>56</v>
      </c>
      <c r="C595" s="5" t="s">
        <v>246</v>
      </c>
      <c r="D595" s="5" t="s">
        <v>68</v>
      </c>
      <c r="E595" s="5" t="s">
        <v>54</v>
      </c>
      <c r="F595" s="5" t="s">
        <v>55</v>
      </c>
      <c r="G595" s="14">
        <v>40657</v>
      </c>
      <c r="H595" s="5">
        <v>100539767</v>
      </c>
      <c r="I595" s="14">
        <v>40671</v>
      </c>
      <c r="J595" s="5">
        <v>806</v>
      </c>
      <c r="K595" s="15">
        <v>109.28</v>
      </c>
      <c r="L595" s="15">
        <v>35.840000000000003</v>
      </c>
      <c r="M595" s="15">
        <v>88079.680000000008</v>
      </c>
      <c r="N595" s="15">
        <v>28887.040000000005</v>
      </c>
      <c r="O595" s="16">
        <v>59192.639999999999</v>
      </c>
    </row>
    <row r="596" spans="2:15" ht="18.75" hidden="1" x14ac:dyDescent="0.25">
      <c r="B596" s="4" t="s">
        <v>60</v>
      </c>
      <c r="C596" s="5" t="s">
        <v>130</v>
      </c>
      <c r="D596" s="5" t="s">
        <v>62</v>
      </c>
      <c r="E596" s="5" t="s">
        <v>54</v>
      </c>
      <c r="F596" s="5" t="s">
        <v>70</v>
      </c>
      <c r="G596" s="14">
        <v>42975</v>
      </c>
      <c r="H596" s="5">
        <v>100543630</v>
      </c>
      <c r="I596" s="14">
        <v>43001</v>
      </c>
      <c r="J596" s="5">
        <v>1949</v>
      </c>
      <c r="K596" s="15">
        <v>437.2</v>
      </c>
      <c r="L596" s="15">
        <v>263.33</v>
      </c>
      <c r="M596" s="15">
        <v>852102.79999999993</v>
      </c>
      <c r="N596" s="15">
        <v>513230.17</v>
      </c>
      <c r="O596" s="16">
        <v>338872.62999999995</v>
      </c>
    </row>
    <row r="597" spans="2:15" ht="18.75" x14ac:dyDescent="0.25">
      <c r="B597" s="4" t="s">
        <v>72</v>
      </c>
      <c r="C597" s="5" t="s">
        <v>73</v>
      </c>
      <c r="D597" s="5" t="s">
        <v>76</v>
      </c>
      <c r="E597" s="5" t="s">
        <v>54</v>
      </c>
      <c r="F597" s="5" t="s">
        <v>59</v>
      </c>
      <c r="G597" s="14">
        <v>44112</v>
      </c>
      <c r="H597" s="5">
        <v>100544059</v>
      </c>
      <c r="I597" s="14">
        <v>44134</v>
      </c>
      <c r="J597" s="5">
        <v>2076</v>
      </c>
      <c r="K597" s="15">
        <v>421.89</v>
      </c>
      <c r="L597" s="15">
        <v>364.69</v>
      </c>
      <c r="M597" s="15">
        <v>875843.64</v>
      </c>
      <c r="N597" s="15">
        <v>757096.44</v>
      </c>
      <c r="O597" s="16">
        <v>118747.20000000007</v>
      </c>
    </row>
    <row r="598" spans="2:15" ht="18.75" hidden="1" x14ac:dyDescent="0.25">
      <c r="B598" s="4" t="s">
        <v>81</v>
      </c>
      <c r="C598" s="5" t="s">
        <v>181</v>
      </c>
      <c r="D598" s="5" t="s">
        <v>78</v>
      </c>
      <c r="E598" s="5" t="s">
        <v>54</v>
      </c>
      <c r="F598" s="5" t="s">
        <v>59</v>
      </c>
      <c r="G598" s="14">
        <v>41290</v>
      </c>
      <c r="H598" s="5">
        <v>100544488</v>
      </c>
      <c r="I598" s="14">
        <v>41307</v>
      </c>
      <c r="J598" s="5">
        <v>2203</v>
      </c>
      <c r="K598" s="15">
        <v>47.45</v>
      </c>
      <c r="L598" s="15">
        <v>31.79</v>
      </c>
      <c r="M598" s="15">
        <v>104532.35</v>
      </c>
      <c r="N598" s="15">
        <v>70033.37</v>
      </c>
      <c r="O598" s="16">
        <v>34498.98000000001</v>
      </c>
    </row>
    <row r="599" spans="2:15" ht="18.75" hidden="1" x14ac:dyDescent="0.25">
      <c r="B599" s="4" t="s">
        <v>72</v>
      </c>
      <c r="C599" s="5" t="s">
        <v>134</v>
      </c>
      <c r="D599" s="5" t="s">
        <v>80</v>
      </c>
      <c r="E599" s="5" t="s">
        <v>54</v>
      </c>
      <c r="F599" s="5" t="s">
        <v>63</v>
      </c>
      <c r="G599" s="14">
        <v>43565</v>
      </c>
      <c r="H599" s="5">
        <v>100545346</v>
      </c>
      <c r="I599" s="14">
        <v>43574</v>
      </c>
      <c r="J599" s="5">
        <v>2457</v>
      </c>
      <c r="K599" s="15">
        <v>668.27</v>
      </c>
      <c r="L599" s="15">
        <v>502.54</v>
      </c>
      <c r="M599" s="15">
        <v>1641939.39</v>
      </c>
      <c r="N599" s="15">
        <v>1234740.78</v>
      </c>
      <c r="O599" s="16">
        <v>407198.60999999987</v>
      </c>
    </row>
    <row r="600" spans="2:15" ht="18.75" hidden="1" x14ac:dyDescent="0.25">
      <c r="B600" s="4" t="s">
        <v>51</v>
      </c>
      <c r="C600" s="5" t="s">
        <v>79</v>
      </c>
      <c r="D600" s="5" t="s">
        <v>65</v>
      </c>
      <c r="E600" s="5" t="s">
        <v>54</v>
      </c>
      <c r="F600" s="5" t="s">
        <v>55</v>
      </c>
      <c r="G600" s="14">
        <v>41881</v>
      </c>
      <c r="H600" s="5">
        <v>100546205</v>
      </c>
      <c r="I600" s="14">
        <v>41881</v>
      </c>
      <c r="J600" s="5">
        <v>2711</v>
      </c>
      <c r="K600" s="15">
        <v>651.21</v>
      </c>
      <c r="L600" s="15">
        <v>524.96</v>
      </c>
      <c r="M600" s="15">
        <v>1765430.31</v>
      </c>
      <c r="N600" s="15">
        <v>1423166.56</v>
      </c>
      <c r="O600" s="16">
        <v>342263.75</v>
      </c>
    </row>
    <row r="601" spans="2:15" ht="18.75" hidden="1" x14ac:dyDescent="0.25">
      <c r="B601" s="4" t="s">
        <v>81</v>
      </c>
      <c r="C601" s="5" t="s">
        <v>84</v>
      </c>
      <c r="D601" s="5" t="s">
        <v>78</v>
      </c>
      <c r="E601" s="5" t="s">
        <v>54</v>
      </c>
      <c r="F601" s="5" t="s">
        <v>59</v>
      </c>
      <c r="G601" s="14">
        <v>42471</v>
      </c>
      <c r="H601" s="5">
        <v>100547921</v>
      </c>
      <c r="I601" s="14">
        <v>42504</v>
      </c>
      <c r="J601" s="5">
        <v>3219</v>
      </c>
      <c r="K601" s="15">
        <v>47.45</v>
      </c>
      <c r="L601" s="15">
        <v>31.79</v>
      </c>
      <c r="M601" s="15">
        <v>152741.55000000002</v>
      </c>
      <c r="N601" s="15">
        <v>102332.01</v>
      </c>
      <c r="O601" s="16">
        <v>50409.540000000023</v>
      </c>
    </row>
    <row r="602" spans="2:15" ht="18.75" hidden="1" x14ac:dyDescent="0.25">
      <c r="B602" s="4" t="s">
        <v>60</v>
      </c>
      <c r="C602" s="5" t="s">
        <v>139</v>
      </c>
      <c r="D602" s="5" t="s">
        <v>53</v>
      </c>
      <c r="E602" s="5" t="s">
        <v>54</v>
      </c>
      <c r="F602" s="5" t="s">
        <v>63</v>
      </c>
      <c r="G602" s="14">
        <v>43608</v>
      </c>
      <c r="H602" s="5">
        <v>100548350</v>
      </c>
      <c r="I602" s="14">
        <v>43637</v>
      </c>
      <c r="J602" s="5">
        <v>3346</v>
      </c>
      <c r="K602" s="15">
        <v>9.33</v>
      </c>
      <c r="L602" s="15">
        <v>6.92</v>
      </c>
      <c r="M602" s="15">
        <v>31218.18</v>
      </c>
      <c r="N602" s="15">
        <v>23154.32</v>
      </c>
      <c r="O602" s="16">
        <v>8063.8600000000006</v>
      </c>
    </row>
    <row r="603" spans="2:15" ht="18.75" hidden="1" x14ac:dyDescent="0.25">
      <c r="B603" s="4" t="s">
        <v>81</v>
      </c>
      <c r="C603" s="5" t="s">
        <v>140</v>
      </c>
      <c r="D603" s="5" t="s">
        <v>58</v>
      </c>
      <c r="E603" s="5" t="s">
        <v>54</v>
      </c>
      <c r="F603" s="5" t="s">
        <v>55</v>
      </c>
      <c r="G603" s="14">
        <v>41924</v>
      </c>
      <c r="H603" s="5">
        <v>100549209</v>
      </c>
      <c r="I603" s="14">
        <v>41944</v>
      </c>
      <c r="J603" s="5">
        <v>3600</v>
      </c>
      <c r="K603" s="15">
        <v>255.28</v>
      </c>
      <c r="L603" s="15">
        <v>159.41999999999999</v>
      </c>
      <c r="M603" s="15">
        <v>919008</v>
      </c>
      <c r="N603" s="15">
        <v>573912</v>
      </c>
      <c r="O603" s="16">
        <v>345096</v>
      </c>
    </row>
    <row r="604" spans="2:15" ht="18.75" hidden="1" x14ac:dyDescent="0.25">
      <c r="B604" s="4" t="s">
        <v>72</v>
      </c>
      <c r="C604" s="5" t="s">
        <v>186</v>
      </c>
      <c r="D604" s="5" t="s">
        <v>68</v>
      </c>
      <c r="E604" s="5" t="s">
        <v>54</v>
      </c>
      <c r="F604" s="5" t="s">
        <v>70</v>
      </c>
      <c r="G604" s="14">
        <v>40239</v>
      </c>
      <c r="H604" s="5">
        <v>100550067</v>
      </c>
      <c r="I604" s="14">
        <v>40251</v>
      </c>
      <c r="J604" s="5">
        <v>3854</v>
      </c>
      <c r="K604" s="15">
        <v>109.28</v>
      </c>
      <c r="L604" s="15">
        <v>35.840000000000003</v>
      </c>
      <c r="M604" s="15">
        <v>421165.12</v>
      </c>
      <c r="N604" s="15">
        <v>138127.36000000002</v>
      </c>
      <c r="O604" s="16">
        <v>283037.76</v>
      </c>
    </row>
    <row r="605" spans="2:15" ht="18.75" hidden="1" x14ac:dyDescent="0.25">
      <c r="B605" s="4" t="s">
        <v>56</v>
      </c>
      <c r="C605" s="5" t="s">
        <v>203</v>
      </c>
      <c r="D605" s="5" t="s">
        <v>62</v>
      </c>
      <c r="E605" s="5" t="s">
        <v>54</v>
      </c>
      <c r="F605" s="5" t="s">
        <v>59</v>
      </c>
      <c r="G605" s="14">
        <v>41377</v>
      </c>
      <c r="H605" s="5">
        <v>100550496</v>
      </c>
      <c r="I605" s="14">
        <v>41384</v>
      </c>
      <c r="J605" s="5">
        <v>3981</v>
      </c>
      <c r="K605" s="15">
        <v>437.2</v>
      </c>
      <c r="L605" s="15">
        <v>263.33</v>
      </c>
      <c r="M605" s="15">
        <v>1740493.2</v>
      </c>
      <c r="N605" s="15">
        <v>1048316.73</v>
      </c>
      <c r="O605" s="16">
        <v>692176.47</v>
      </c>
    </row>
    <row r="606" spans="2:15" ht="18.75" hidden="1" x14ac:dyDescent="0.25">
      <c r="B606" s="4" t="s">
        <v>81</v>
      </c>
      <c r="C606" s="5" t="s">
        <v>145</v>
      </c>
      <c r="D606" s="5" t="s">
        <v>58</v>
      </c>
      <c r="E606" s="5" t="s">
        <v>54</v>
      </c>
      <c r="F606" s="5" t="s">
        <v>55</v>
      </c>
      <c r="G606" s="14">
        <v>43104</v>
      </c>
      <c r="H606" s="5">
        <v>100552642</v>
      </c>
      <c r="I606" s="14">
        <v>43140</v>
      </c>
      <c r="J606" s="5">
        <v>4616</v>
      </c>
      <c r="K606" s="15">
        <v>255.28</v>
      </c>
      <c r="L606" s="15">
        <v>159.41999999999999</v>
      </c>
      <c r="M606" s="15">
        <v>1178372.48</v>
      </c>
      <c r="N606" s="15">
        <v>735882.72</v>
      </c>
      <c r="O606" s="16">
        <v>442489.76</v>
      </c>
    </row>
    <row r="607" spans="2:15" ht="18.75" hidden="1" x14ac:dyDescent="0.25">
      <c r="B607" s="4" t="s">
        <v>72</v>
      </c>
      <c r="C607" s="5" t="s">
        <v>91</v>
      </c>
      <c r="D607" s="5" t="s">
        <v>78</v>
      </c>
      <c r="E607" s="5" t="s">
        <v>54</v>
      </c>
      <c r="F607" s="5" t="s">
        <v>63</v>
      </c>
      <c r="G607" s="14">
        <v>40873</v>
      </c>
      <c r="H607" s="5">
        <v>100554788</v>
      </c>
      <c r="I607" s="14">
        <v>40888</v>
      </c>
      <c r="J607" s="5">
        <v>5251</v>
      </c>
      <c r="K607" s="15">
        <v>47.45</v>
      </c>
      <c r="L607" s="15">
        <v>31.79</v>
      </c>
      <c r="M607" s="15">
        <v>249159.95</v>
      </c>
      <c r="N607" s="15">
        <v>166929.29</v>
      </c>
      <c r="O607" s="16">
        <v>82230.66</v>
      </c>
    </row>
    <row r="608" spans="2:15" ht="18.75" hidden="1" x14ac:dyDescent="0.25">
      <c r="B608" s="4" t="s">
        <v>56</v>
      </c>
      <c r="C608" s="5" t="s">
        <v>92</v>
      </c>
      <c r="D608" s="5" t="s">
        <v>53</v>
      </c>
      <c r="E608" s="5" t="s">
        <v>54</v>
      </c>
      <c r="F608" s="5" t="s">
        <v>55</v>
      </c>
      <c r="G608" s="14">
        <v>42010</v>
      </c>
      <c r="H608" s="5">
        <v>100555217</v>
      </c>
      <c r="I608" s="14">
        <v>42020</v>
      </c>
      <c r="J608" s="5">
        <v>5378</v>
      </c>
      <c r="K608" s="15">
        <v>9.33</v>
      </c>
      <c r="L608" s="15">
        <v>6.92</v>
      </c>
      <c r="M608" s="15">
        <v>50176.74</v>
      </c>
      <c r="N608" s="15">
        <v>37215.760000000002</v>
      </c>
      <c r="O608" s="16">
        <v>12960.979999999996</v>
      </c>
    </row>
    <row r="609" spans="2:15" ht="18.75" hidden="1" x14ac:dyDescent="0.25">
      <c r="B609" s="4" t="s">
        <v>51</v>
      </c>
      <c r="C609" s="5" t="s">
        <v>94</v>
      </c>
      <c r="D609" s="5" t="s">
        <v>80</v>
      </c>
      <c r="E609" s="5" t="s">
        <v>54</v>
      </c>
      <c r="F609" s="5" t="s">
        <v>55</v>
      </c>
      <c r="G609" s="14">
        <v>43147</v>
      </c>
      <c r="H609" s="5">
        <v>100555646</v>
      </c>
      <c r="I609" s="14">
        <v>43153</v>
      </c>
      <c r="J609" s="5">
        <v>5505</v>
      </c>
      <c r="K609" s="15">
        <v>668.27</v>
      </c>
      <c r="L609" s="15">
        <v>502.54</v>
      </c>
      <c r="M609" s="15">
        <v>3678826.35</v>
      </c>
      <c r="N609" s="15">
        <v>2766482.7</v>
      </c>
      <c r="O609" s="16">
        <v>912343.64999999991</v>
      </c>
    </row>
    <row r="610" spans="2:15" ht="18.75" hidden="1" x14ac:dyDescent="0.25">
      <c r="B610" s="4" t="s">
        <v>81</v>
      </c>
      <c r="C610" s="5" t="s">
        <v>148</v>
      </c>
      <c r="D610" s="5" t="s">
        <v>62</v>
      </c>
      <c r="E610" s="5" t="s">
        <v>54</v>
      </c>
      <c r="F610" s="5" t="s">
        <v>59</v>
      </c>
      <c r="G610" s="14">
        <v>43738</v>
      </c>
      <c r="H610" s="5">
        <v>100557363</v>
      </c>
      <c r="I610" s="14">
        <v>43778</v>
      </c>
      <c r="J610" s="5">
        <v>6013</v>
      </c>
      <c r="K610" s="15">
        <v>437.2</v>
      </c>
      <c r="L610" s="15">
        <v>263.33</v>
      </c>
      <c r="M610" s="15">
        <v>2628883.6</v>
      </c>
      <c r="N610" s="15">
        <v>1583403.2899999998</v>
      </c>
      <c r="O610" s="16">
        <v>1045480.3100000003</v>
      </c>
    </row>
    <row r="611" spans="2:15" ht="18.75" hidden="1" x14ac:dyDescent="0.25">
      <c r="B611" s="4" t="s">
        <v>51</v>
      </c>
      <c r="C611" s="5" t="s">
        <v>234</v>
      </c>
      <c r="D611" s="5" t="s">
        <v>78</v>
      </c>
      <c r="E611" s="5" t="s">
        <v>54</v>
      </c>
      <c r="F611" s="5" t="s">
        <v>63</v>
      </c>
      <c r="G611" s="14">
        <v>42053</v>
      </c>
      <c r="H611" s="5">
        <v>100558221</v>
      </c>
      <c r="I611" s="14">
        <v>42084</v>
      </c>
      <c r="J611" s="5">
        <v>6267</v>
      </c>
      <c r="K611" s="15">
        <v>47.45</v>
      </c>
      <c r="L611" s="15">
        <v>31.79</v>
      </c>
      <c r="M611" s="15">
        <v>297369.15000000002</v>
      </c>
      <c r="N611" s="15">
        <v>199227.93</v>
      </c>
      <c r="O611" s="16">
        <v>98141.22000000003</v>
      </c>
    </row>
    <row r="612" spans="2:15" ht="18.75" hidden="1" x14ac:dyDescent="0.25">
      <c r="B612" s="4" t="s">
        <v>60</v>
      </c>
      <c r="C612" s="5" t="s">
        <v>149</v>
      </c>
      <c r="D612" s="5" t="s">
        <v>80</v>
      </c>
      <c r="E612" s="5" t="s">
        <v>54</v>
      </c>
      <c r="F612" s="5" t="s">
        <v>70</v>
      </c>
      <c r="G612" s="14">
        <v>40369</v>
      </c>
      <c r="H612" s="5">
        <v>100559079</v>
      </c>
      <c r="I612" s="14">
        <v>40391</v>
      </c>
      <c r="J612" s="5">
        <v>6521</v>
      </c>
      <c r="K612" s="15">
        <v>668.27</v>
      </c>
      <c r="L612" s="15">
        <v>502.54</v>
      </c>
      <c r="M612" s="15">
        <v>4357788.67</v>
      </c>
      <c r="N612" s="15">
        <v>3277063.3400000003</v>
      </c>
      <c r="O612" s="16">
        <v>1080725.3299999996</v>
      </c>
    </row>
    <row r="613" spans="2:15" ht="18.75" hidden="1" x14ac:dyDescent="0.25">
      <c r="B613" s="4" t="s">
        <v>74</v>
      </c>
      <c r="C613" s="5" t="s">
        <v>99</v>
      </c>
      <c r="D613" s="5" t="s">
        <v>88</v>
      </c>
      <c r="E613" s="5" t="s">
        <v>54</v>
      </c>
      <c r="F613" s="5" t="s">
        <v>59</v>
      </c>
      <c r="G613" s="14">
        <v>43781</v>
      </c>
      <c r="H613" s="5">
        <v>100560367</v>
      </c>
      <c r="I613" s="14">
        <v>43790</v>
      </c>
      <c r="J613" s="5">
        <v>6902</v>
      </c>
      <c r="K613" s="15">
        <v>152.58000000000001</v>
      </c>
      <c r="L613" s="15">
        <v>97.44</v>
      </c>
      <c r="M613" s="15">
        <v>1053107.1600000001</v>
      </c>
      <c r="N613" s="15">
        <v>672530.88</v>
      </c>
      <c r="O613" s="16">
        <v>380576.28000000014</v>
      </c>
    </row>
    <row r="614" spans="2:15" ht="18.75" hidden="1" x14ac:dyDescent="0.25">
      <c r="B614" s="4" t="s">
        <v>56</v>
      </c>
      <c r="C614" s="5" t="s">
        <v>235</v>
      </c>
      <c r="D614" s="5" t="s">
        <v>93</v>
      </c>
      <c r="E614" s="5" t="s">
        <v>54</v>
      </c>
      <c r="F614" s="5" t="s">
        <v>63</v>
      </c>
      <c r="G614" s="14">
        <v>42097</v>
      </c>
      <c r="H614" s="5">
        <v>100561225</v>
      </c>
      <c r="I614" s="14">
        <v>42097</v>
      </c>
      <c r="J614" s="5">
        <v>7156</v>
      </c>
      <c r="K614" s="15">
        <v>81.73</v>
      </c>
      <c r="L614" s="15">
        <v>56.67</v>
      </c>
      <c r="M614" s="15">
        <v>584859.88</v>
      </c>
      <c r="N614" s="15">
        <v>405530.52</v>
      </c>
      <c r="O614" s="16">
        <v>179329.36</v>
      </c>
    </row>
    <row r="615" spans="2:15" ht="18.75" hidden="1" x14ac:dyDescent="0.25">
      <c r="B615" s="4" t="s">
        <v>60</v>
      </c>
      <c r="C615" s="5" t="s">
        <v>193</v>
      </c>
      <c r="D615" s="5" t="s">
        <v>80</v>
      </c>
      <c r="E615" s="5" t="s">
        <v>54</v>
      </c>
      <c r="F615" s="5" t="s">
        <v>70</v>
      </c>
      <c r="G615" s="14">
        <v>41549</v>
      </c>
      <c r="H615" s="5">
        <v>100562512</v>
      </c>
      <c r="I615" s="14">
        <v>41587</v>
      </c>
      <c r="J615" s="5">
        <v>7537</v>
      </c>
      <c r="K615" s="15">
        <v>668.27</v>
      </c>
      <c r="L615" s="15">
        <v>502.54</v>
      </c>
      <c r="M615" s="15">
        <v>5036750.99</v>
      </c>
      <c r="N615" s="15">
        <v>3787643.98</v>
      </c>
      <c r="O615" s="16">
        <v>1249107.0100000002</v>
      </c>
    </row>
    <row r="616" spans="2:15" ht="18.75" hidden="1" x14ac:dyDescent="0.25">
      <c r="B616" s="4" t="s">
        <v>60</v>
      </c>
      <c r="C616" s="5" t="s">
        <v>253</v>
      </c>
      <c r="D616" s="5" t="s">
        <v>88</v>
      </c>
      <c r="E616" s="5" t="s">
        <v>54</v>
      </c>
      <c r="F616" s="5" t="s">
        <v>63</v>
      </c>
      <c r="G616" s="14">
        <v>41002</v>
      </c>
      <c r="H616" s="5">
        <v>100563800</v>
      </c>
      <c r="I616" s="14">
        <v>41027</v>
      </c>
      <c r="J616" s="5">
        <v>7918</v>
      </c>
      <c r="K616" s="15">
        <v>152.58000000000001</v>
      </c>
      <c r="L616" s="15">
        <v>97.44</v>
      </c>
      <c r="M616" s="15">
        <v>1208128.4400000002</v>
      </c>
      <c r="N616" s="15">
        <v>771529.91999999993</v>
      </c>
      <c r="O616" s="16">
        <v>436598.52000000025</v>
      </c>
    </row>
    <row r="617" spans="2:15" ht="18.75" hidden="1" x14ac:dyDescent="0.25">
      <c r="B617" s="4" t="s">
        <v>81</v>
      </c>
      <c r="C617" s="5" t="s">
        <v>211</v>
      </c>
      <c r="D617" s="5" t="s">
        <v>93</v>
      </c>
      <c r="E617" s="5" t="s">
        <v>54</v>
      </c>
      <c r="F617" s="5" t="s">
        <v>55</v>
      </c>
      <c r="G617" s="14">
        <v>43277</v>
      </c>
      <c r="H617" s="5">
        <v>100564658</v>
      </c>
      <c r="I617" s="14">
        <v>43293</v>
      </c>
      <c r="J617" s="5">
        <v>8172</v>
      </c>
      <c r="K617" s="15">
        <v>81.73</v>
      </c>
      <c r="L617" s="15">
        <v>56.67</v>
      </c>
      <c r="M617" s="15">
        <v>667897.56000000006</v>
      </c>
      <c r="N617" s="15">
        <v>463107.24</v>
      </c>
      <c r="O617" s="16">
        <v>204790.32000000007</v>
      </c>
    </row>
    <row r="618" spans="2:15" ht="18.75" hidden="1" x14ac:dyDescent="0.25">
      <c r="B618" s="4" t="s">
        <v>74</v>
      </c>
      <c r="C618" s="5" t="s">
        <v>155</v>
      </c>
      <c r="D618" s="5" t="s">
        <v>78</v>
      </c>
      <c r="E618" s="5" t="s">
        <v>54</v>
      </c>
      <c r="F618" s="5" t="s">
        <v>55</v>
      </c>
      <c r="G618" s="14">
        <v>40455</v>
      </c>
      <c r="H618" s="5">
        <v>100565087</v>
      </c>
      <c r="I618" s="14">
        <v>40467</v>
      </c>
      <c r="J618" s="5">
        <v>8299</v>
      </c>
      <c r="K618" s="15">
        <v>47.45</v>
      </c>
      <c r="L618" s="15">
        <v>31.79</v>
      </c>
      <c r="M618" s="15">
        <v>393787.55000000005</v>
      </c>
      <c r="N618" s="15">
        <v>263825.21000000002</v>
      </c>
      <c r="O618" s="16">
        <v>129962.34000000003</v>
      </c>
    </row>
    <row r="619" spans="2:15" ht="18.75" hidden="1" x14ac:dyDescent="0.25">
      <c r="B619" s="4" t="s">
        <v>56</v>
      </c>
      <c r="C619" s="5" t="s">
        <v>106</v>
      </c>
      <c r="D619" s="5" t="s">
        <v>88</v>
      </c>
      <c r="E619" s="5" t="s">
        <v>54</v>
      </c>
      <c r="F619" s="5" t="s">
        <v>63</v>
      </c>
      <c r="G619" s="14">
        <v>42183</v>
      </c>
      <c r="H619" s="5">
        <v>100567233</v>
      </c>
      <c r="I619" s="14">
        <v>42224</v>
      </c>
      <c r="J619" s="5">
        <v>8934</v>
      </c>
      <c r="K619" s="15">
        <v>152.58000000000001</v>
      </c>
      <c r="L619" s="15">
        <v>97.44</v>
      </c>
      <c r="M619" s="15">
        <v>1363149.7200000002</v>
      </c>
      <c r="N619" s="15">
        <v>870528.96</v>
      </c>
      <c r="O619" s="16">
        <v>492620.76000000024</v>
      </c>
    </row>
    <row r="620" spans="2:15" ht="18.75" hidden="1" x14ac:dyDescent="0.25">
      <c r="B620" s="4" t="s">
        <v>51</v>
      </c>
      <c r="C620" s="5" t="s">
        <v>107</v>
      </c>
      <c r="D620" s="5" t="s">
        <v>62</v>
      </c>
      <c r="E620" s="5" t="s">
        <v>54</v>
      </c>
      <c r="F620" s="5" t="s">
        <v>63</v>
      </c>
      <c r="G620" s="14">
        <v>43320</v>
      </c>
      <c r="H620" s="5">
        <v>100567662</v>
      </c>
      <c r="I620" s="14">
        <v>43357</v>
      </c>
      <c r="J620" s="5">
        <v>9061</v>
      </c>
      <c r="K620" s="15">
        <v>437.2</v>
      </c>
      <c r="L620" s="15">
        <v>263.33</v>
      </c>
      <c r="M620" s="15">
        <v>3961469.1999999997</v>
      </c>
      <c r="N620" s="15">
        <v>2386033.13</v>
      </c>
      <c r="O620" s="16">
        <v>1575436.0699999998</v>
      </c>
    </row>
    <row r="621" spans="2:15" ht="18.75" hidden="1" x14ac:dyDescent="0.25">
      <c r="B621" s="4" t="s">
        <v>81</v>
      </c>
      <c r="C621" s="5" t="s">
        <v>157</v>
      </c>
      <c r="D621" s="5" t="s">
        <v>93</v>
      </c>
      <c r="E621" s="5" t="s">
        <v>54</v>
      </c>
      <c r="F621" s="5" t="s">
        <v>55</v>
      </c>
      <c r="G621" s="14">
        <v>40498</v>
      </c>
      <c r="H621" s="5">
        <v>100568091</v>
      </c>
      <c r="I621" s="14">
        <v>40531</v>
      </c>
      <c r="J621" s="5">
        <v>9188</v>
      </c>
      <c r="K621" s="15">
        <v>81.73</v>
      </c>
      <c r="L621" s="15">
        <v>56.67</v>
      </c>
      <c r="M621" s="15">
        <v>750935.24</v>
      </c>
      <c r="N621" s="15">
        <v>520683.96</v>
      </c>
      <c r="O621" s="16">
        <v>230251.27999999997</v>
      </c>
    </row>
    <row r="622" spans="2:15" ht="18.75" hidden="1" x14ac:dyDescent="0.25">
      <c r="B622" s="4" t="s">
        <v>60</v>
      </c>
      <c r="C622" s="5" t="s">
        <v>213</v>
      </c>
      <c r="D622" s="5" t="s">
        <v>78</v>
      </c>
      <c r="E622" s="5" t="s">
        <v>54</v>
      </c>
      <c r="F622" s="5" t="s">
        <v>70</v>
      </c>
      <c r="G622" s="14">
        <v>41636</v>
      </c>
      <c r="H622" s="5">
        <v>100568521</v>
      </c>
      <c r="I622" s="14">
        <v>41664</v>
      </c>
      <c r="J622" s="5">
        <v>9315</v>
      </c>
      <c r="K622" s="15">
        <v>47.45</v>
      </c>
      <c r="L622" s="15">
        <v>31.79</v>
      </c>
      <c r="M622" s="15">
        <v>441996.75</v>
      </c>
      <c r="N622" s="15">
        <v>296123.84999999998</v>
      </c>
      <c r="O622" s="16">
        <v>145872.90000000002</v>
      </c>
    </row>
    <row r="623" spans="2:15" ht="18.75" hidden="1" x14ac:dyDescent="0.25">
      <c r="B623" s="4" t="s">
        <v>51</v>
      </c>
      <c r="C623" s="5" t="s">
        <v>256</v>
      </c>
      <c r="D623" s="5" t="s">
        <v>96</v>
      </c>
      <c r="E623" s="5" t="s">
        <v>54</v>
      </c>
      <c r="F623" s="5" t="s">
        <v>70</v>
      </c>
      <c r="G623" s="14">
        <v>42773</v>
      </c>
      <c r="H623" s="5">
        <v>100568950</v>
      </c>
      <c r="I623" s="14">
        <v>42797</v>
      </c>
      <c r="J623" s="5">
        <v>9442</v>
      </c>
      <c r="K623" s="15">
        <v>154.06</v>
      </c>
      <c r="L623" s="15">
        <v>90.93</v>
      </c>
      <c r="M623" s="15">
        <v>1454634.52</v>
      </c>
      <c r="N623" s="15">
        <v>858561.06</v>
      </c>
      <c r="O623" s="16">
        <v>596073.46</v>
      </c>
    </row>
    <row r="624" spans="2:15" ht="18.75" hidden="1" x14ac:dyDescent="0.25">
      <c r="B624" s="4" t="s">
        <v>74</v>
      </c>
      <c r="C624" s="5" t="s">
        <v>249</v>
      </c>
      <c r="D624" s="5" t="s">
        <v>100</v>
      </c>
      <c r="E624" s="5" t="s">
        <v>54</v>
      </c>
      <c r="F624" s="5" t="s">
        <v>59</v>
      </c>
      <c r="G624" s="14">
        <v>41089</v>
      </c>
      <c r="H624" s="5">
        <v>100569808</v>
      </c>
      <c r="I624" s="14">
        <v>41104</v>
      </c>
      <c r="J624" s="5">
        <v>9696</v>
      </c>
      <c r="K624" s="15">
        <v>205.7</v>
      </c>
      <c r="L624" s="15">
        <v>117.11</v>
      </c>
      <c r="M624" s="15">
        <v>1994467.2</v>
      </c>
      <c r="N624" s="15">
        <v>1135498.56</v>
      </c>
      <c r="O624" s="16">
        <v>858968.6399999999</v>
      </c>
    </row>
    <row r="625" spans="2:15" ht="18.75" hidden="1" x14ac:dyDescent="0.25">
      <c r="B625" s="4" t="s">
        <v>81</v>
      </c>
      <c r="C625" s="5" t="s">
        <v>158</v>
      </c>
      <c r="D625" s="5" t="s">
        <v>88</v>
      </c>
      <c r="E625" s="5" t="s">
        <v>54</v>
      </c>
      <c r="F625" s="5" t="s">
        <v>63</v>
      </c>
      <c r="G625" s="14">
        <v>43363</v>
      </c>
      <c r="H625" s="5">
        <v>100570666</v>
      </c>
      <c r="I625" s="14">
        <v>43369</v>
      </c>
      <c r="J625" s="5">
        <v>9950</v>
      </c>
      <c r="K625" s="15">
        <v>152.58000000000001</v>
      </c>
      <c r="L625" s="15">
        <v>97.44</v>
      </c>
      <c r="M625" s="15">
        <v>1518171.0000000002</v>
      </c>
      <c r="N625" s="15">
        <v>969528</v>
      </c>
      <c r="O625" s="16">
        <v>548643.00000000023</v>
      </c>
    </row>
    <row r="626" spans="2:15" ht="18.75" hidden="1" x14ac:dyDescent="0.25">
      <c r="B626" s="4" t="s">
        <v>56</v>
      </c>
      <c r="C626" s="5" t="s">
        <v>159</v>
      </c>
      <c r="D626" s="5" t="s">
        <v>78</v>
      </c>
      <c r="E626" s="5" t="s">
        <v>54</v>
      </c>
      <c r="F626" s="5" t="s">
        <v>70</v>
      </c>
      <c r="G626" s="14">
        <v>42816</v>
      </c>
      <c r="H626" s="5">
        <v>100571954</v>
      </c>
      <c r="I626" s="14">
        <v>42860</v>
      </c>
      <c r="J626" s="5">
        <v>331</v>
      </c>
      <c r="K626" s="15">
        <v>47.45</v>
      </c>
      <c r="L626" s="15">
        <v>31.79</v>
      </c>
      <c r="M626" s="15">
        <v>15705.95</v>
      </c>
      <c r="N626" s="15">
        <v>10522.49</v>
      </c>
      <c r="O626" s="16">
        <v>5183.4600000000009</v>
      </c>
    </row>
    <row r="627" spans="2:15" ht="18.75" hidden="1" x14ac:dyDescent="0.25">
      <c r="B627" s="4" t="s">
        <v>60</v>
      </c>
      <c r="C627" s="5" t="s">
        <v>200</v>
      </c>
      <c r="D627" s="5" t="s">
        <v>100</v>
      </c>
      <c r="E627" s="5" t="s">
        <v>54</v>
      </c>
      <c r="F627" s="5" t="s">
        <v>59</v>
      </c>
      <c r="G627" s="14">
        <v>42269</v>
      </c>
      <c r="H627" s="5">
        <v>100573241</v>
      </c>
      <c r="I627" s="14">
        <v>42300</v>
      </c>
      <c r="J627" s="5">
        <v>712</v>
      </c>
      <c r="K627" s="15">
        <v>205.7</v>
      </c>
      <c r="L627" s="15">
        <v>117.11</v>
      </c>
      <c r="M627" s="15">
        <v>146458.4</v>
      </c>
      <c r="N627" s="15">
        <v>83382.319999999992</v>
      </c>
      <c r="O627" s="16">
        <v>63076.08</v>
      </c>
    </row>
    <row r="628" spans="2:15" ht="18.75" hidden="1" x14ac:dyDescent="0.25">
      <c r="B628" s="4" t="s">
        <v>51</v>
      </c>
      <c r="C628" s="5" t="s">
        <v>161</v>
      </c>
      <c r="D628" s="5" t="s">
        <v>65</v>
      </c>
      <c r="E628" s="5" t="s">
        <v>54</v>
      </c>
      <c r="F628" s="5" t="s">
        <v>63</v>
      </c>
      <c r="G628" s="14">
        <v>43406</v>
      </c>
      <c r="H628" s="5">
        <v>100573670</v>
      </c>
      <c r="I628" s="14">
        <v>43433</v>
      </c>
      <c r="J628" s="5">
        <v>839</v>
      </c>
      <c r="K628" s="15">
        <v>651.21</v>
      </c>
      <c r="L628" s="15">
        <v>524.96</v>
      </c>
      <c r="M628" s="15">
        <v>546365.19000000006</v>
      </c>
      <c r="N628" s="15">
        <v>440441.44</v>
      </c>
      <c r="O628" s="16">
        <v>105923.75000000006</v>
      </c>
    </row>
    <row r="629" spans="2:15" ht="18.75" hidden="1" x14ac:dyDescent="0.25">
      <c r="B629" s="4" t="s">
        <v>60</v>
      </c>
      <c r="C629" s="5" t="s">
        <v>201</v>
      </c>
      <c r="D629" s="5" t="s">
        <v>62</v>
      </c>
      <c r="E629" s="5" t="s">
        <v>54</v>
      </c>
      <c r="F629" s="5" t="s">
        <v>55</v>
      </c>
      <c r="G629" s="14">
        <v>41722</v>
      </c>
      <c r="H629" s="5">
        <v>100574529</v>
      </c>
      <c r="I629" s="14">
        <v>41740</v>
      </c>
      <c r="J629" s="5">
        <v>1093</v>
      </c>
      <c r="K629" s="15">
        <v>437.2</v>
      </c>
      <c r="L629" s="15">
        <v>263.33</v>
      </c>
      <c r="M629" s="15">
        <v>477859.6</v>
      </c>
      <c r="N629" s="15">
        <v>287819.69</v>
      </c>
      <c r="O629" s="16">
        <v>190039.90999999997</v>
      </c>
    </row>
    <row r="630" spans="2:15" ht="18.75" hidden="1" x14ac:dyDescent="0.25">
      <c r="B630" s="4" t="s">
        <v>72</v>
      </c>
      <c r="C630" s="5" t="s">
        <v>229</v>
      </c>
      <c r="D630" s="5" t="s">
        <v>68</v>
      </c>
      <c r="E630" s="5" t="s">
        <v>54</v>
      </c>
      <c r="F630" s="5" t="s">
        <v>59</v>
      </c>
      <c r="G630" s="14">
        <v>42312</v>
      </c>
      <c r="H630" s="5">
        <v>100576245</v>
      </c>
      <c r="I630" s="14">
        <v>42313</v>
      </c>
      <c r="J630" s="5">
        <v>1601</v>
      </c>
      <c r="K630" s="15">
        <v>109.28</v>
      </c>
      <c r="L630" s="15">
        <v>35.840000000000003</v>
      </c>
      <c r="M630" s="15">
        <v>174957.28</v>
      </c>
      <c r="N630" s="15">
        <v>57379.840000000004</v>
      </c>
      <c r="O630" s="16">
        <v>117577.44</v>
      </c>
    </row>
    <row r="631" spans="2:15" ht="18.75" hidden="1" x14ac:dyDescent="0.25">
      <c r="B631" s="4" t="s">
        <v>51</v>
      </c>
      <c r="C631" s="5" t="s">
        <v>251</v>
      </c>
      <c r="D631" s="5" t="s">
        <v>76</v>
      </c>
      <c r="E631" s="5" t="s">
        <v>54</v>
      </c>
      <c r="F631" s="5" t="s">
        <v>63</v>
      </c>
      <c r="G631" s="14">
        <v>40628</v>
      </c>
      <c r="H631" s="5">
        <v>100577104</v>
      </c>
      <c r="I631" s="14">
        <v>40671</v>
      </c>
      <c r="J631" s="5">
        <v>1855</v>
      </c>
      <c r="K631" s="15">
        <v>421.89</v>
      </c>
      <c r="L631" s="15">
        <v>364.69</v>
      </c>
      <c r="M631" s="15">
        <v>782605.95</v>
      </c>
      <c r="N631" s="15">
        <v>676499.95</v>
      </c>
      <c r="O631" s="16">
        <v>106106</v>
      </c>
    </row>
    <row r="632" spans="2:15" ht="18.75" hidden="1" x14ac:dyDescent="0.25">
      <c r="B632" s="4" t="s">
        <v>81</v>
      </c>
      <c r="C632" s="5" t="s">
        <v>163</v>
      </c>
      <c r="D632" s="5" t="s">
        <v>88</v>
      </c>
      <c r="E632" s="5" t="s">
        <v>54</v>
      </c>
      <c r="F632" s="5" t="s">
        <v>55</v>
      </c>
      <c r="G632" s="14">
        <v>41765</v>
      </c>
      <c r="H632" s="5">
        <v>100577533</v>
      </c>
      <c r="I632" s="14">
        <v>41804</v>
      </c>
      <c r="J632" s="5">
        <v>1982</v>
      </c>
      <c r="K632" s="15">
        <v>152.58000000000001</v>
      </c>
      <c r="L632" s="15">
        <v>97.44</v>
      </c>
      <c r="M632" s="15">
        <v>302413.56</v>
      </c>
      <c r="N632" s="15">
        <v>193126.08</v>
      </c>
      <c r="O632" s="16">
        <v>109287.48000000001</v>
      </c>
    </row>
    <row r="633" spans="2:15" ht="18.75" hidden="1" x14ac:dyDescent="0.25">
      <c r="B633" s="4" t="s">
        <v>60</v>
      </c>
      <c r="C633" s="5" t="s">
        <v>164</v>
      </c>
      <c r="D633" s="5" t="s">
        <v>53</v>
      </c>
      <c r="E633" s="5" t="s">
        <v>54</v>
      </c>
      <c r="F633" s="5" t="s">
        <v>55</v>
      </c>
      <c r="G633" s="14">
        <v>42903</v>
      </c>
      <c r="H633" s="5">
        <v>100577962</v>
      </c>
      <c r="I633" s="14">
        <v>42937</v>
      </c>
      <c r="J633" s="5">
        <v>2109</v>
      </c>
      <c r="K633" s="15">
        <v>9.33</v>
      </c>
      <c r="L633" s="15">
        <v>6.92</v>
      </c>
      <c r="M633" s="15">
        <v>19676.97</v>
      </c>
      <c r="N633" s="15">
        <v>14594.28</v>
      </c>
      <c r="O633" s="16">
        <v>5082.6900000000005</v>
      </c>
    </row>
    <row r="634" spans="2:15" ht="18.75" hidden="1" x14ac:dyDescent="0.25">
      <c r="B634" s="4" t="s">
        <v>51</v>
      </c>
      <c r="C634" s="5" t="s">
        <v>219</v>
      </c>
      <c r="D634" s="5" t="s">
        <v>68</v>
      </c>
      <c r="E634" s="5" t="s">
        <v>54</v>
      </c>
      <c r="F634" s="5" t="s">
        <v>63</v>
      </c>
      <c r="G634" s="14">
        <v>43493</v>
      </c>
      <c r="H634" s="5">
        <v>100579679</v>
      </c>
      <c r="I634" s="14">
        <v>43510</v>
      </c>
      <c r="J634" s="5">
        <v>2617</v>
      </c>
      <c r="K634" s="15">
        <v>109.28</v>
      </c>
      <c r="L634" s="15">
        <v>35.840000000000003</v>
      </c>
      <c r="M634" s="15">
        <v>285985.76</v>
      </c>
      <c r="N634" s="15">
        <v>93793.280000000013</v>
      </c>
      <c r="O634" s="16">
        <v>192192.47999999998</v>
      </c>
    </row>
    <row r="635" spans="2:15" ht="18.75" hidden="1" x14ac:dyDescent="0.25">
      <c r="B635" s="4" t="s">
        <v>56</v>
      </c>
      <c r="C635" s="5" t="s">
        <v>166</v>
      </c>
      <c r="D635" s="5" t="s">
        <v>53</v>
      </c>
      <c r="E635" s="5" t="s">
        <v>54</v>
      </c>
      <c r="F635" s="5" t="s">
        <v>70</v>
      </c>
      <c r="G635" s="14">
        <v>44083</v>
      </c>
      <c r="H635" s="5">
        <v>100581395</v>
      </c>
      <c r="I635" s="14">
        <v>44133</v>
      </c>
      <c r="J635" s="5">
        <v>3125</v>
      </c>
      <c r="K635" s="15">
        <v>9.33</v>
      </c>
      <c r="L635" s="15">
        <v>6.92</v>
      </c>
      <c r="M635" s="15">
        <v>29156.25</v>
      </c>
      <c r="N635" s="15">
        <v>21625</v>
      </c>
      <c r="O635" s="16">
        <v>7531.25</v>
      </c>
    </row>
    <row r="636" spans="2:15" ht="18.75" hidden="1" x14ac:dyDescent="0.25">
      <c r="B636" s="4" t="s">
        <v>66</v>
      </c>
      <c r="C636" s="5" t="s">
        <v>167</v>
      </c>
      <c r="D636" s="5" t="s">
        <v>58</v>
      </c>
      <c r="E636" s="5" t="s">
        <v>54</v>
      </c>
      <c r="F636" s="5" t="s">
        <v>59</v>
      </c>
      <c r="G636" s="14">
        <v>42399</v>
      </c>
      <c r="H636" s="5">
        <v>100582253</v>
      </c>
      <c r="I636" s="14">
        <v>42441</v>
      </c>
      <c r="J636" s="5">
        <v>3379</v>
      </c>
      <c r="K636" s="15">
        <v>255.28</v>
      </c>
      <c r="L636" s="15">
        <v>159.41999999999999</v>
      </c>
      <c r="M636" s="15">
        <v>862591.12</v>
      </c>
      <c r="N636" s="15">
        <v>538680.17999999993</v>
      </c>
      <c r="O636" s="16">
        <v>323910.94000000006</v>
      </c>
    </row>
    <row r="637" spans="2:15" ht="18.75" hidden="1" x14ac:dyDescent="0.25">
      <c r="B637" s="4" t="s">
        <v>60</v>
      </c>
      <c r="C637" s="5" t="s">
        <v>127</v>
      </c>
      <c r="D637" s="5" t="s">
        <v>76</v>
      </c>
      <c r="E637" s="5" t="s">
        <v>54</v>
      </c>
      <c r="F637" s="5" t="s">
        <v>55</v>
      </c>
      <c r="G637" s="14">
        <v>42989</v>
      </c>
      <c r="H637" s="5">
        <v>100583970</v>
      </c>
      <c r="I637" s="14">
        <v>43013</v>
      </c>
      <c r="J637" s="5">
        <v>3887</v>
      </c>
      <c r="K637" s="15">
        <v>421.89</v>
      </c>
      <c r="L637" s="15">
        <v>364.69</v>
      </c>
      <c r="M637" s="15">
        <v>1639886.43</v>
      </c>
      <c r="N637" s="15">
        <v>1417550.03</v>
      </c>
      <c r="O637" s="16">
        <v>222336.39999999991</v>
      </c>
    </row>
    <row r="638" spans="2:15" ht="18.75" hidden="1" x14ac:dyDescent="0.25">
      <c r="B638" s="4" t="s">
        <v>51</v>
      </c>
      <c r="C638" s="5" t="s">
        <v>170</v>
      </c>
      <c r="D638" s="5" t="s">
        <v>88</v>
      </c>
      <c r="E638" s="5" t="s">
        <v>54</v>
      </c>
      <c r="F638" s="5" t="s">
        <v>70</v>
      </c>
      <c r="G638" s="14">
        <v>44126</v>
      </c>
      <c r="H638" s="5">
        <v>100584399</v>
      </c>
      <c r="I638" s="14">
        <v>44146</v>
      </c>
      <c r="J638" s="5">
        <v>4014</v>
      </c>
      <c r="K638" s="15">
        <v>152.58000000000001</v>
      </c>
      <c r="L638" s="15">
        <v>97.44</v>
      </c>
      <c r="M638" s="15">
        <v>612456.12</v>
      </c>
      <c r="N638" s="15">
        <v>391124.16</v>
      </c>
      <c r="O638" s="16">
        <v>221331.96000000002</v>
      </c>
    </row>
    <row r="639" spans="2:15" ht="18.75" hidden="1" x14ac:dyDescent="0.25">
      <c r="B639" s="4" t="s">
        <v>60</v>
      </c>
      <c r="C639" s="5" t="s">
        <v>130</v>
      </c>
      <c r="D639" s="5" t="s">
        <v>93</v>
      </c>
      <c r="E639" s="5" t="s">
        <v>54</v>
      </c>
      <c r="F639" s="5" t="s">
        <v>59</v>
      </c>
      <c r="G639" s="14">
        <v>42442</v>
      </c>
      <c r="H639" s="5">
        <v>100585258</v>
      </c>
      <c r="I639" s="14">
        <v>42453</v>
      </c>
      <c r="J639" s="5">
        <v>4268</v>
      </c>
      <c r="K639" s="15">
        <v>81.73</v>
      </c>
      <c r="L639" s="15">
        <v>56.67</v>
      </c>
      <c r="M639" s="15">
        <v>348823.64</v>
      </c>
      <c r="N639" s="15">
        <v>241867.56</v>
      </c>
      <c r="O639" s="16">
        <v>106956.08000000002</v>
      </c>
    </row>
    <row r="640" spans="2:15" ht="18.75" hidden="1" x14ac:dyDescent="0.25">
      <c r="B640" s="4" t="s">
        <v>72</v>
      </c>
      <c r="C640" s="5" t="s">
        <v>131</v>
      </c>
      <c r="D640" s="5" t="s">
        <v>58</v>
      </c>
      <c r="E640" s="5" t="s">
        <v>54</v>
      </c>
      <c r="F640" s="5" t="s">
        <v>59</v>
      </c>
      <c r="G640" s="14">
        <v>43579</v>
      </c>
      <c r="H640" s="5">
        <v>100585687</v>
      </c>
      <c r="I640" s="14">
        <v>43586</v>
      </c>
      <c r="J640" s="5">
        <v>4395</v>
      </c>
      <c r="K640" s="15">
        <v>255.28</v>
      </c>
      <c r="L640" s="15">
        <v>159.41999999999999</v>
      </c>
      <c r="M640" s="15">
        <v>1121955.6000000001</v>
      </c>
      <c r="N640" s="15">
        <v>700650.89999999991</v>
      </c>
      <c r="O640" s="16">
        <v>421304.70000000019</v>
      </c>
    </row>
    <row r="641" spans="2:15" ht="18.75" hidden="1" x14ac:dyDescent="0.25">
      <c r="B641" s="4" t="s">
        <v>51</v>
      </c>
      <c r="C641" s="5" t="s">
        <v>136</v>
      </c>
      <c r="D641" s="5" t="s">
        <v>88</v>
      </c>
      <c r="E641" s="5" t="s">
        <v>54</v>
      </c>
      <c r="F641" s="5" t="s">
        <v>70</v>
      </c>
      <c r="G641" s="14">
        <v>41348</v>
      </c>
      <c r="H641" s="5">
        <v>100587832</v>
      </c>
      <c r="I641" s="14">
        <v>41384</v>
      </c>
      <c r="J641" s="5">
        <v>5030</v>
      </c>
      <c r="K641" s="15">
        <v>152.58000000000001</v>
      </c>
      <c r="L641" s="15">
        <v>97.44</v>
      </c>
      <c r="M641" s="15">
        <v>767477.4</v>
      </c>
      <c r="N641" s="15">
        <v>490123.2</v>
      </c>
      <c r="O641" s="16">
        <v>277354.2</v>
      </c>
    </row>
    <row r="642" spans="2:15" ht="18.75" hidden="1" x14ac:dyDescent="0.25">
      <c r="B642" s="4" t="s">
        <v>81</v>
      </c>
      <c r="C642" s="5" t="s">
        <v>221</v>
      </c>
      <c r="D642" s="5" t="s">
        <v>53</v>
      </c>
      <c r="E642" s="5" t="s">
        <v>54</v>
      </c>
      <c r="F642" s="5" t="s">
        <v>59</v>
      </c>
      <c r="G642" s="14">
        <v>42485</v>
      </c>
      <c r="H642" s="5">
        <v>100588262</v>
      </c>
      <c r="I642" s="14">
        <v>42517</v>
      </c>
      <c r="J642" s="5">
        <v>5157</v>
      </c>
      <c r="K642" s="15">
        <v>9.33</v>
      </c>
      <c r="L642" s="15">
        <v>6.92</v>
      </c>
      <c r="M642" s="15">
        <v>48114.81</v>
      </c>
      <c r="N642" s="15">
        <v>35686.44</v>
      </c>
      <c r="O642" s="16">
        <v>12428.369999999995</v>
      </c>
    </row>
    <row r="643" spans="2:15" ht="18.75" hidden="1" x14ac:dyDescent="0.25">
      <c r="B643" s="4" t="s">
        <v>51</v>
      </c>
      <c r="C643" s="5" t="s">
        <v>137</v>
      </c>
      <c r="D643" s="5" t="s">
        <v>58</v>
      </c>
      <c r="E643" s="5" t="s">
        <v>54</v>
      </c>
      <c r="F643" s="5" t="s">
        <v>63</v>
      </c>
      <c r="G643" s="14">
        <v>40801</v>
      </c>
      <c r="H643" s="5">
        <v>100589120</v>
      </c>
      <c r="I643" s="14">
        <v>40824</v>
      </c>
      <c r="J643" s="5">
        <v>5411</v>
      </c>
      <c r="K643" s="15">
        <v>255.28</v>
      </c>
      <c r="L643" s="15">
        <v>159.41999999999999</v>
      </c>
      <c r="M643" s="15">
        <v>1381320.08</v>
      </c>
      <c r="N643" s="15">
        <v>862621.61999999988</v>
      </c>
      <c r="O643" s="16">
        <v>518698.4600000002</v>
      </c>
    </row>
    <row r="644" spans="2:15" ht="18.75" hidden="1" x14ac:dyDescent="0.25">
      <c r="B644" s="4" t="s">
        <v>81</v>
      </c>
      <c r="C644" s="5" t="s">
        <v>138</v>
      </c>
      <c r="D644" s="5" t="s">
        <v>96</v>
      </c>
      <c r="E644" s="5" t="s">
        <v>54</v>
      </c>
      <c r="F644" s="5" t="s">
        <v>63</v>
      </c>
      <c r="G644" s="14">
        <v>41938</v>
      </c>
      <c r="H644" s="5">
        <v>100589549</v>
      </c>
      <c r="I644" s="14">
        <v>41957</v>
      </c>
      <c r="J644" s="5">
        <v>5538</v>
      </c>
      <c r="K644" s="15">
        <v>154.06</v>
      </c>
      <c r="L644" s="15">
        <v>90.93</v>
      </c>
      <c r="M644" s="15">
        <v>853184.28</v>
      </c>
      <c r="N644" s="15">
        <v>503570.34</v>
      </c>
      <c r="O644" s="16">
        <v>349613.94</v>
      </c>
    </row>
    <row r="645" spans="2:15" ht="18.75" hidden="1" x14ac:dyDescent="0.25">
      <c r="B645" s="4" t="s">
        <v>60</v>
      </c>
      <c r="C645" s="5" t="s">
        <v>254</v>
      </c>
      <c r="D645" s="5" t="s">
        <v>68</v>
      </c>
      <c r="E645" s="5" t="s">
        <v>54</v>
      </c>
      <c r="F645" s="5" t="s">
        <v>55</v>
      </c>
      <c r="G645" s="14">
        <v>43075</v>
      </c>
      <c r="H645" s="5">
        <v>100589978</v>
      </c>
      <c r="I645" s="14">
        <v>43089</v>
      </c>
      <c r="J645" s="5">
        <v>5665</v>
      </c>
      <c r="K645" s="15">
        <v>109.28</v>
      </c>
      <c r="L645" s="15">
        <v>35.840000000000003</v>
      </c>
      <c r="M645" s="15">
        <v>619071.19999999995</v>
      </c>
      <c r="N645" s="15">
        <v>203033.60000000001</v>
      </c>
      <c r="O645" s="16">
        <v>416037.6</v>
      </c>
    </row>
    <row r="646" spans="2:15" ht="18.75" hidden="1" x14ac:dyDescent="0.25">
      <c r="B646" s="4" t="s">
        <v>51</v>
      </c>
      <c r="C646" s="5" t="s">
        <v>174</v>
      </c>
      <c r="D646" s="5" t="s">
        <v>100</v>
      </c>
      <c r="E646" s="5" t="s">
        <v>54</v>
      </c>
      <c r="F646" s="5" t="s">
        <v>55</v>
      </c>
      <c r="G646" s="14">
        <v>40254</v>
      </c>
      <c r="H646" s="5">
        <v>100590407</v>
      </c>
      <c r="I646" s="14">
        <v>40264</v>
      </c>
      <c r="J646" s="5">
        <v>5792</v>
      </c>
      <c r="K646" s="15">
        <v>205.7</v>
      </c>
      <c r="L646" s="15">
        <v>117.11</v>
      </c>
      <c r="M646" s="15">
        <v>1191414.3999999999</v>
      </c>
      <c r="N646" s="15">
        <v>678301.12</v>
      </c>
      <c r="O646" s="16">
        <v>513113.27999999991</v>
      </c>
    </row>
    <row r="647" spans="2:15" ht="18.75" hidden="1" x14ac:dyDescent="0.25">
      <c r="B647" s="4" t="s">
        <v>81</v>
      </c>
      <c r="C647" s="5" t="s">
        <v>140</v>
      </c>
      <c r="D647" s="5" t="s">
        <v>76</v>
      </c>
      <c r="E647" s="5" t="s">
        <v>54</v>
      </c>
      <c r="F647" s="5" t="s">
        <v>70</v>
      </c>
      <c r="G647" s="14">
        <v>41391</v>
      </c>
      <c r="H647" s="5">
        <v>100590837</v>
      </c>
      <c r="I647" s="14">
        <v>41397</v>
      </c>
      <c r="J647" s="5">
        <v>5919</v>
      </c>
      <c r="K647" s="15">
        <v>421.89</v>
      </c>
      <c r="L647" s="15">
        <v>364.69</v>
      </c>
      <c r="M647" s="15">
        <v>2497166.91</v>
      </c>
      <c r="N647" s="15">
        <v>2158600.11</v>
      </c>
      <c r="O647" s="16">
        <v>338566.80000000028</v>
      </c>
    </row>
    <row r="648" spans="2:15" ht="18.75" hidden="1" x14ac:dyDescent="0.25">
      <c r="B648" s="4" t="s">
        <v>74</v>
      </c>
      <c r="C648" s="5" t="s">
        <v>141</v>
      </c>
      <c r="D648" s="5" t="s">
        <v>88</v>
      </c>
      <c r="E648" s="5" t="s">
        <v>54</v>
      </c>
      <c r="F648" s="5" t="s">
        <v>70</v>
      </c>
      <c r="G648" s="14">
        <v>42528</v>
      </c>
      <c r="H648" s="5">
        <v>100591266</v>
      </c>
      <c r="I648" s="14">
        <v>42529</v>
      </c>
      <c r="J648" s="5">
        <v>6046</v>
      </c>
      <c r="K648" s="15">
        <v>152.58000000000001</v>
      </c>
      <c r="L648" s="15">
        <v>97.44</v>
      </c>
      <c r="M648" s="15">
        <v>922498.68</v>
      </c>
      <c r="N648" s="15">
        <v>589122.24</v>
      </c>
      <c r="O648" s="16">
        <v>333376.44000000006</v>
      </c>
    </row>
    <row r="649" spans="2:15" ht="18.75" hidden="1" x14ac:dyDescent="0.25">
      <c r="B649" s="4" t="s">
        <v>56</v>
      </c>
      <c r="C649" s="5" t="s">
        <v>239</v>
      </c>
      <c r="D649" s="5" t="s">
        <v>93</v>
      </c>
      <c r="E649" s="5" t="s">
        <v>54</v>
      </c>
      <c r="F649" s="5" t="s">
        <v>59</v>
      </c>
      <c r="G649" s="14">
        <v>40844</v>
      </c>
      <c r="H649" s="5">
        <v>100592124</v>
      </c>
      <c r="I649" s="14">
        <v>40888</v>
      </c>
      <c r="J649" s="5">
        <v>6300</v>
      </c>
      <c r="K649" s="15">
        <v>81.73</v>
      </c>
      <c r="L649" s="15">
        <v>56.67</v>
      </c>
      <c r="M649" s="15">
        <v>514899</v>
      </c>
      <c r="N649" s="15">
        <v>357021</v>
      </c>
      <c r="O649" s="16">
        <v>157878</v>
      </c>
    </row>
    <row r="650" spans="2:15" ht="18.75" hidden="1" x14ac:dyDescent="0.25">
      <c r="B650" s="4" t="s">
        <v>51</v>
      </c>
      <c r="C650" s="5" t="s">
        <v>204</v>
      </c>
      <c r="D650" s="5" t="s">
        <v>58</v>
      </c>
      <c r="E650" s="5" t="s">
        <v>54</v>
      </c>
      <c r="F650" s="5" t="s">
        <v>63</v>
      </c>
      <c r="G650" s="14">
        <v>41981</v>
      </c>
      <c r="H650" s="5">
        <v>100592553</v>
      </c>
      <c r="I650" s="14">
        <v>42020</v>
      </c>
      <c r="J650" s="5">
        <v>6427</v>
      </c>
      <c r="K650" s="15">
        <v>255.28</v>
      </c>
      <c r="L650" s="15">
        <v>159.41999999999999</v>
      </c>
      <c r="M650" s="15">
        <v>1640684.56</v>
      </c>
      <c r="N650" s="15">
        <v>1024592.34</v>
      </c>
      <c r="O650" s="16">
        <v>616092.22000000009</v>
      </c>
    </row>
    <row r="651" spans="2:15" ht="18.75" hidden="1" x14ac:dyDescent="0.25">
      <c r="B651" s="4" t="s">
        <v>56</v>
      </c>
      <c r="C651" s="5" t="s">
        <v>57</v>
      </c>
      <c r="D651" s="5" t="s">
        <v>68</v>
      </c>
      <c r="E651" s="5" t="s">
        <v>132</v>
      </c>
      <c r="F651" s="5" t="s">
        <v>55</v>
      </c>
      <c r="G651" s="14">
        <v>40297</v>
      </c>
      <c r="H651" s="5">
        <v>100593411</v>
      </c>
      <c r="I651" s="14">
        <v>40327</v>
      </c>
      <c r="J651" s="5">
        <v>6681</v>
      </c>
      <c r="K651" s="15">
        <v>109.28</v>
      </c>
      <c r="L651" s="15">
        <v>35.840000000000003</v>
      </c>
      <c r="M651" s="15">
        <v>730099.68</v>
      </c>
      <c r="N651" s="15">
        <v>239447.04000000004</v>
      </c>
      <c r="O651" s="16">
        <v>490652.64</v>
      </c>
    </row>
    <row r="652" spans="2:15" ht="18.75" hidden="1" x14ac:dyDescent="0.25">
      <c r="B652" s="4" t="s">
        <v>51</v>
      </c>
      <c r="C652" s="5" t="s">
        <v>240</v>
      </c>
      <c r="D652" s="5" t="s">
        <v>100</v>
      </c>
      <c r="E652" s="5" t="s">
        <v>132</v>
      </c>
      <c r="F652" s="5" t="s">
        <v>70</v>
      </c>
      <c r="G652" s="14">
        <v>41434</v>
      </c>
      <c r="H652" s="5">
        <v>100593841</v>
      </c>
      <c r="I652" s="14">
        <v>41460</v>
      </c>
      <c r="J652" s="5">
        <v>6808</v>
      </c>
      <c r="K652" s="15">
        <v>205.7</v>
      </c>
      <c r="L652" s="15">
        <v>117.11</v>
      </c>
      <c r="M652" s="15">
        <v>1400405.5999999999</v>
      </c>
      <c r="N652" s="15">
        <v>797284.88</v>
      </c>
      <c r="O652" s="16">
        <v>603120.71999999986</v>
      </c>
    </row>
    <row r="653" spans="2:15" ht="18.75" hidden="1" x14ac:dyDescent="0.25">
      <c r="B653" s="4" t="s">
        <v>60</v>
      </c>
      <c r="C653" s="5" t="s">
        <v>146</v>
      </c>
      <c r="D653" s="5" t="s">
        <v>88</v>
      </c>
      <c r="E653" s="5" t="s">
        <v>132</v>
      </c>
      <c r="F653" s="5" t="s">
        <v>59</v>
      </c>
      <c r="G653" s="14">
        <v>43709</v>
      </c>
      <c r="H653" s="5">
        <v>100594699</v>
      </c>
      <c r="I653" s="14">
        <v>43726</v>
      </c>
      <c r="J653" s="5">
        <v>7062</v>
      </c>
      <c r="K653" s="15">
        <v>152.58000000000001</v>
      </c>
      <c r="L653" s="15">
        <v>97.44</v>
      </c>
      <c r="M653" s="15">
        <v>1077519.9600000002</v>
      </c>
      <c r="N653" s="15">
        <v>688121.28</v>
      </c>
      <c r="O653" s="16">
        <v>389398.68000000017</v>
      </c>
    </row>
    <row r="654" spans="2:15" ht="18.75" hidden="1" x14ac:dyDescent="0.25">
      <c r="B654" s="4" t="s">
        <v>81</v>
      </c>
      <c r="C654" s="5" t="s">
        <v>241</v>
      </c>
      <c r="D654" s="5" t="s">
        <v>93</v>
      </c>
      <c r="E654" s="5" t="s">
        <v>132</v>
      </c>
      <c r="F654" s="5" t="s">
        <v>63</v>
      </c>
      <c r="G654" s="14">
        <v>42024</v>
      </c>
      <c r="H654" s="5">
        <v>100595557</v>
      </c>
      <c r="I654" s="14">
        <v>42033</v>
      </c>
      <c r="J654" s="5">
        <v>7316</v>
      </c>
      <c r="K654" s="15">
        <v>81.73</v>
      </c>
      <c r="L654" s="15">
        <v>56.67</v>
      </c>
      <c r="M654" s="15">
        <v>597936.68000000005</v>
      </c>
      <c r="N654" s="15">
        <v>414597.72000000003</v>
      </c>
      <c r="O654" s="16">
        <v>183338.96000000002</v>
      </c>
    </row>
    <row r="655" spans="2:15" ht="18.75" hidden="1" x14ac:dyDescent="0.25">
      <c r="B655" s="4" t="s">
        <v>56</v>
      </c>
      <c r="C655" s="5" t="s">
        <v>257</v>
      </c>
      <c r="D655" s="5" t="s">
        <v>68</v>
      </c>
      <c r="E655" s="5" t="s">
        <v>132</v>
      </c>
      <c r="F655" s="5" t="s">
        <v>55</v>
      </c>
      <c r="G655" s="14">
        <v>41477</v>
      </c>
      <c r="H655" s="5">
        <v>100596845</v>
      </c>
      <c r="I655" s="14">
        <v>41524</v>
      </c>
      <c r="J655" s="5">
        <v>7697</v>
      </c>
      <c r="K655" s="15">
        <v>109.28</v>
      </c>
      <c r="L655" s="15">
        <v>35.840000000000003</v>
      </c>
      <c r="M655" s="15">
        <v>841128.16</v>
      </c>
      <c r="N655" s="15">
        <v>275860.48000000004</v>
      </c>
      <c r="O655" s="16">
        <v>565267.67999999993</v>
      </c>
    </row>
    <row r="656" spans="2:15" ht="18.75" hidden="1" x14ac:dyDescent="0.25">
      <c r="B656" s="4" t="s">
        <v>66</v>
      </c>
      <c r="C656" s="5" t="s">
        <v>206</v>
      </c>
      <c r="D656" s="5" t="s">
        <v>76</v>
      </c>
      <c r="E656" s="5" t="s">
        <v>132</v>
      </c>
      <c r="F656" s="5" t="s">
        <v>70</v>
      </c>
      <c r="G656" s="14">
        <v>43752</v>
      </c>
      <c r="H656" s="5">
        <v>100597703</v>
      </c>
      <c r="I656" s="14">
        <v>43790</v>
      </c>
      <c r="J656" s="5">
        <v>7951</v>
      </c>
      <c r="K656" s="15">
        <v>421.89</v>
      </c>
      <c r="L656" s="15">
        <v>364.69</v>
      </c>
      <c r="M656" s="15">
        <v>3354447.3899999997</v>
      </c>
      <c r="N656" s="15">
        <v>2899650.19</v>
      </c>
      <c r="O656" s="16">
        <v>454797.19999999972</v>
      </c>
    </row>
    <row r="657" spans="2:15" ht="18.75" hidden="1" x14ac:dyDescent="0.25">
      <c r="B657" s="4" t="s">
        <v>81</v>
      </c>
      <c r="C657" s="5" t="s">
        <v>180</v>
      </c>
      <c r="D657" s="5" t="s">
        <v>68</v>
      </c>
      <c r="E657" s="5" t="s">
        <v>132</v>
      </c>
      <c r="F657" s="5" t="s">
        <v>70</v>
      </c>
      <c r="G657" s="14">
        <v>42658</v>
      </c>
      <c r="H657" s="5">
        <v>100600278</v>
      </c>
      <c r="I657" s="14">
        <v>42670</v>
      </c>
      <c r="J657" s="5">
        <v>8713</v>
      </c>
      <c r="K657" s="15">
        <v>109.28</v>
      </c>
      <c r="L657" s="15">
        <v>35.840000000000003</v>
      </c>
      <c r="M657" s="15">
        <v>952156.64</v>
      </c>
      <c r="N657" s="15">
        <v>312273.92000000004</v>
      </c>
      <c r="O657" s="16">
        <v>639882.72</v>
      </c>
    </row>
    <row r="658" spans="2:15" ht="18.75" hidden="1" x14ac:dyDescent="0.25">
      <c r="B658" s="4" t="s">
        <v>72</v>
      </c>
      <c r="C658" s="5" t="s">
        <v>73</v>
      </c>
      <c r="D658" s="5" t="s">
        <v>76</v>
      </c>
      <c r="E658" s="5" t="s">
        <v>132</v>
      </c>
      <c r="F658" s="5" t="s">
        <v>59</v>
      </c>
      <c r="G658" s="14">
        <v>40973</v>
      </c>
      <c r="H658" s="5">
        <v>100601136</v>
      </c>
      <c r="I658" s="14">
        <v>40976</v>
      </c>
      <c r="J658" s="5">
        <v>8967</v>
      </c>
      <c r="K658" s="15">
        <v>421.89</v>
      </c>
      <c r="L658" s="15">
        <v>364.69</v>
      </c>
      <c r="M658" s="15">
        <v>3783087.63</v>
      </c>
      <c r="N658" s="15">
        <v>3270175.23</v>
      </c>
      <c r="O658" s="16">
        <v>512912.39999999991</v>
      </c>
    </row>
    <row r="659" spans="2:15" ht="18.75" hidden="1" x14ac:dyDescent="0.25">
      <c r="B659" s="4" t="s">
        <v>74</v>
      </c>
      <c r="C659" s="5" t="s">
        <v>182</v>
      </c>
      <c r="D659" s="5" t="s">
        <v>53</v>
      </c>
      <c r="E659" s="5" t="s">
        <v>132</v>
      </c>
      <c r="F659" s="5" t="s">
        <v>63</v>
      </c>
      <c r="G659" s="14">
        <v>43248</v>
      </c>
      <c r="H659" s="5">
        <v>100601994</v>
      </c>
      <c r="I659" s="14">
        <v>43293</v>
      </c>
      <c r="J659" s="5">
        <v>9221</v>
      </c>
      <c r="K659" s="15">
        <v>9.33</v>
      </c>
      <c r="L659" s="15">
        <v>6.92</v>
      </c>
      <c r="M659" s="15">
        <v>86031.930000000008</v>
      </c>
      <c r="N659" s="15">
        <v>63809.32</v>
      </c>
      <c r="O659" s="16">
        <v>22222.610000000008</v>
      </c>
    </row>
    <row r="660" spans="2:15" ht="18.75" hidden="1" x14ac:dyDescent="0.25">
      <c r="B660" s="4" t="s">
        <v>51</v>
      </c>
      <c r="C660" s="5" t="s">
        <v>151</v>
      </c>
      <c r="D660" s="5" t="s">
        <v>65</v>
      </c>
      <c r="E660" s="5" t="s">
        <v>132</v>
      </c>
      <c r="F660" s="5" t="s">
        <v>70</v>
      </c>
      <c r="G660" s="14">
        <v>42701</v>
      </c>
      <c r="H660" s="5">
        <v>100603282</v>
      </c>
      <c r="I660" s="14">
        <v>42733</v>
      </c>
      <c r="J660" s="5">
        <v>9602</v>
      </c>
      <c r="K660" s="15">
        <v>651.21</v>
      </c>
      <c r="L660" s="15">
        <v>524.96</v>
      </c>
      <c r="M660" s="15">
        <v>6252918.4199999999</v>
      </c>
      <c r="N660" s="15">
        <v>5040665.92</v>
      </c>
      <c r="O660" s="16">
        <v>1212252.5</v>
      </c>
    </row>
    <row r="661" spans="2:15" ht="18.75" hidden="1" x14ac:dyDescent="0.25">
      <c r="B661" s="4" t="s">
        <v>81</v>
      </c>
      <c r="C661" s="5" t="s">
        <v>152</v>
      </c>
      <c r="D661" s="5" t="s">
        <v>68</v>
      </c>
      <c r="E661" s="5" t="s">
        <v>132</v>
      </c>
      <c r="F661" s="5" t="s">
        <v>70</v>
      </c>
      <c r="G661" s="14">
        <v>43838</v>
      </c>
      <c r="H661" s="5">
        <v>100603711</v>
      </c>
      <c r="I661" s="14">
        <v>43866</v>
      </c>
      <c r="J661" s="5">
        <v>9729</v>
      </c>
      <c r="K661" s="15">
        <v>109.28</v>
      </c>
      <c r="L661" s="15">
        <v>35.840000000000003</v>
      </c>
      <c r="M661" s="15">
        <v>1063185.1200000001</v>
      </c>
      <c r="N661" s="15">
        <v>348687.36000000004</v>
      </c>
      <c r="O661" s="16">
        <v>714497.76</v>
      </c>
    </row>
    <row r="662" spans="2:15" ht="18.75" hidden="1" x14ac:dyDescent="0.25">
      <c r="B662" s="4" t="s">
        <v>81</v>
      </c>
      <c r="C662" s="5" t="s">
        <v>210</v>
      </c>
      <c r="D662" s="5" t="s">
        <v>78</v>
      </c>
      <c r="E662" s="5" t="s">
        <v>132</v>
      </c>
      <c r="F662" s="5" t="s">
        <v>63</v>
      </c>
      <c r="G662" s="14">
        <v>43291</v>
      </c>
      <c r="H662" s="5">
        <v>100604999</v>
      </c>
      <c r="I662" s="14">
        <v>43306</v>
      </c>
      <c r="J662" s="5">
        <v>110</v>
      </c>
      <c r="K662" s="15">
        <v>47.45</v>
      </c>
      <c r="L662" s="15">
        <v>31.79</v>
      </c>
      <c r="M662" s="15">
        <v>5219.5</v>
      </c>
      <c r="N662" s="15">
        <v>3496.9</v>
      </c>
      <c r="O662" s="16">
        <v>1722.6</v>
      </c>
    </row>
    <row r="663" spans="2:15" ht="18.75" hidden="1" x14ac:dyDescent="0.25">
      <c r="B663" s="4" t="s">
        <v>60</v>
      </c>
      <c r="C663" s="5" t="s">
        <v>224</v>
      </c>
      <c r="D663" s="5" t="s">
        <v>53</v>
      </c>
      <c r="E663" s="5" t="s">
        <v>132</v>
      </c>
      <c r="F663" s="5" t="s">
        <v>63</v>
      </c>
      <c r="G663" s="14">
        <v>40469</v>
      </c>
      <c r="H663" s="5">
        <v>100605428</v>
      </c>
      <c r="I663" s="14">
        <v>40479</v>
      </c>
      <c r="J663" s="5">
        <v>237</v>
      </c>
      <c r="K663" s="15">
        <v>9.33</v>
      </c>
      <c r="L663" s="15">
        <v>6.92</v>
      </c>
      <c r="M663" s="15">
        <v>2211.21</v>
      </c>
      <c r="N663" s="15">
        <v>1640.04</v>
      </c>
      <c r="O663" s="16">
        <v>571.17000000000007</v>
      </c>
    </row>
    <row r="664" spans="2:15" ht="18.75" hidden="1" x14ac:dyDescent="0.25">
      <c r="B664" s="4" t="s">
        <v>56</v>
      </c>
      <c r="C664" s="5" t="s">
        <v>86</v>
      </c>
      <c r="D664" s="5" t="s">
        <v>62</v>
      </c>
      <c r="E664" s="5" t="s">
        <v>132</v>
      </c>
      <c r="F664" s="5" t="s">
        <v>59</v>
      </c>
      <c r="G664" s="14">
        <v>42197</v>
      </c>
      <c r="H664" s="5">
        <v>100607573</v>
      </c>
      <c r="I664" s="14">
        <v>42237</v>
      </c>
      <c r="J664" s="5">
        <v>872</v>
      </c>
      <c r="K664" s="15">
        <v>437.2</v>
      </c>
      <c r="L664" s="15">
        <v>263.33</v>
      </c>
      <c r="M664" s="15">
        <v>381238.39999999997</v>
      </c>
      <c r="N664" s="15">
        <v>229623.75999999998</v>
      </c>
      <c r="O664" s="16">
        <v>151614.63999999998</v>
      </c>
    </row>
    <row r="665" spans="2:15" ht="18.75" hidden="1" x14ac:dyDescent="0.25">
      <c r="B665" s="4" t="s">
        <v>56</v>
      </c>
      <c r="C665" s="5" t="s">
        <v>156</v>
      </c>
      <c r="D665" s="5" t="s">
        <v>53</v>
      </c>
      <c r="E665" s="5" t="s">
        <v>132</v>
      </c>
      <c r="F665" s="5" t="s">
        <v>55</v>
      </c>
      <c r="G665" s="14">
        <v>41650</v>
      </c>
      <c r="H665" s="5">
        <v>100608861</v>
      </c>
      <c r="I665" s="14">
        <v>41677</v>
      </c>
      <c r="J665" s="5">
        <v>1253</v>
      </c>
      <c r="K665" s="15">
        <v>9.33</v>
      </c>
      <c r="L665" s="15">
        <v>6.92</v>
      </c>
      <c r="M665" s="15">
        <v>11690.49</v>
      </c>
      <c r="N665" s="15">
        <v>8670.76</v>
      </c>
      <c r="O665" s="16">
        <v>3019.7299999999996</v>
      </c>
    </row>
    <row r="666" spans="2:15" ht="18.75" hidden="1" x14ac:dyDescent="0.25">
      <c r="B666" s="4" t="s">
        <v>60</v>
      </c>
      <c r="C666" s="5" t="s">
        <v>90</v>
      </c>
      <c r="D666" s="5" t="s">
        <v>65</v>
      </c>
      <c r="E666" s="5" t="s">
        <v>132</v>
      </c>
      <c r="F666" s="5" t="s">
        <v>70</v>
      </c>
      <c r="G666" s="14">
        <v>41103</v>
      </c>
      <c r="H666" s="5">
        <v>100610148</v>
      </c>
      <c r="I666" s="14">
        <v>41117</v>
      </c>
      <c r="J666" s="5">
        <v>1634</v>
      </c>
      <c r="K666" s="15">
        <v>651.21</v>
      </c>
      <c r="L666" s="15">
        <v>524.96</v>
      </c>
      <c r="M666" s="15">
        <v>1064077.1400000001</v>
      </c>
      <c r="N666" s="15">
        <v>857784.64</v>
      </c>
      <c r="O666" s="16">
        <v>206292.50000000012</v>
      </c>
    </row>
    <row r="667" spans="2:15" ht="18.75" hidden="1" x14ac:dyDescent="0.25">
      <c r="B667" s="4" t="s">
        <v>81</v>
      </c>
      <c r="C667" s="5" t="s">
        <v>242</v>
      </c>
      <c r="D667" s="5" t="s">
        <v>62</v>
      </c>
      <c r="E667" s="5" t="s">
        <v>132</v>
      </c>
      <c r="F667" s="5" t="s">
        <v>59</v>
      </c>
      <c r="G667" s="14">
        <v>43377</v>
      </c>
      <c r="H667" s="5">
        <v>100611007</v>
      </c>
      <c r="I667" s="14">
        <v>43382</v>
      </c>
      <c r="J667" s="5">
        <v>1888</v>
      </c>
      <c r="K667" s="15">
        <v>437.2</v>
      </c>
      <c r="L667" s="15">
        <v>263.33</v>
      </c>
      <c r="M667" s="15">
        <v>825433.59999999998</v>
      </c>
      <c r="N667" s="15">
        <v>497167.04</v>
      </c>
      <c r="O667" s="16">
        <v>328266.56</v>
      </c>
    </row>
    <row r="668" spans="2:15" ht="18.75" x14ac:dyDescent="0.25">
      <c r="B668" s="4" t="s">
        <v>51</v>
      </c>
      <c r="C668" s="5" t="s">
        <v>215</v>
      </c>
      <c r="D668" s="5" t="s">
        <v>80</v>
      </c>
      <c r="E668" s="5" t="s">
        <v>132</v>
      </c>
      <c r="F668" s="5" t="s">
        <v>70</v>
      </c>
      <c r="G668" s="14">
        <v>43968</v>
      </c>
      <c r="H668" s="5">
        <v>100612723</v>
      </c>
      <c r="I668" s="14">
        <v>44006</v>
      </c>
      <c r="J668" s="5">
        <v>2396</v>
      </c>
      <c r="K668" s="15">
        <v>668.27</v>
      </c>
      <c r="L668" s="15">
        <v>502.54</v>
      </c>
      <c r="M668" s="15">
        <v>1601174.92</v>
      </c>
      <c r="N668" s="15">
        <v>1204085.8400000001</v>
      </c>
      <c r="O668" s="16">
        <v>397089.07999999984</v>
      </c>
    </row>
    <row r="669" spans="2:15" ht="18.75" hidden="1" x14ac:dyDescent="0.25">
      <c r="B669" s="4" t="s">
        <v>51</v>
      </c>
      <c r="C669" s="5" t="s">
        <v>160</v>
      </c>
      <c r="D669" s="5" t="s">
        <v>68</v>
      </c>
      <c r="E669" s="5" t="s">
        <v>132</v>
      </c>
      <c r="F669" s="5" t="s">
        <v>59</v>
      </c>
      <c r="G669" s="14">
        <v>43421</v>
      </c>
      <c r="H669" s="5">
        <v>100614011</v>
      </c>
      <c r="I669" s="14">
        <v>43446</v>
      </c>
      <c r="J669" s="5">
        <v>2777</v>
      </c>
      <c r="K669" s="15">
        <v>109.28</v>
      </c>
      <c r="L669" s="15">
        <v>35.840000000000003</v>
      </c>
      <c r="M669" s="15">
        <v>303470.56</v>
      </c>
      <c r="N669" s="15">
        <v>99527.680000000008</v>
      </c>
      <c r="O669" s="16">
        <v>203942.88</v>
      </c>
    </row>
    <row r="670" spans="2:15" ht="18.75" hidden="1" x14ac:dyDescent="0.25">
      <c r="B670" s="4" t="s">
        <v>81</v>
      </c>
      <c r="C670" s="5" t="s">
        <v>190</v>
      </c>
      <c r="D670" s="5" t="s">
        <v>62</v>
      </c>
      <c r="E670" s="5" t="s">
        <v>132</v>
      </c>
      <c r="F670" s="5" t="s">
        <v>63</v>
      </c>
      <c r="G670" s="14">
        <v>40599</v>
      </c>
      <c r="H670" s="5">
        <v>100614440</v>
      </c>
      <c r="I670" s="14">
        <v>40620</v>
      </c>
      <c r="J670" s="5">
        <v>2904</v>
      </c>
      <c r="K670" s="15">
        <v>437.2</v>
      </c>
      <c r="L670" s="15">
        <v>263.33</v>
      </c>
      <c r="M670" s="15">
        <v>1269628.8</v>
      </c>
      <c r="N670" s="15">
        <v>764710.32</v>
      </c>
      <c r="O670" s="16">
        <v>504918.4800000001</v>
      </c>
    </row>
    <row r="671" spans="2:15" ht="18.75" hidden="1" x14ac:dyDescent="0.25">
      <c r="B671" s="4" t="s">
        <v>51</v>
      </c>
      <c r="C671" s="5" t="s">
        <v>191</v>
      </c>
      <c r="D671" s="5" t="s">
        <v>78</v>
      </c>
      <c r="E671" s="5" t="s">
        <v>132</v>
      </c>
      <c r="F671" s="5" t="s">
        <v>55</v>
      </c>
      <c r="G671" s="14">
        <v>42874</v>
      </c>
      <c r="H671" s="5">
        <v>100615298</v>
      </c>
      <c r="I671" s="14">
        <v>42886</v>
      </c>
      <c r="J671" s="5">
        <v>3158</v>
      </c>
      <c r="K671" s="15">
        <v>47.45</v>
      </c>
      <c r="L671" s="15">
        <v>31.79</v>
      </c>
      <c r="M671" s="15">
        <v>149847.1</v>
      </c>
      <c r="N671" s="15">
        <v>100392.81999999999</v>
      </c>
      <c r="O671" s="16">
        <v>49454.280000000013</v>
      </c>
    </row>
    <row r="672" spans="2:15" ht="18.75" hidden="1" x14ac:dyDescent="0.25">
      <c r="B672" s="4" t="s">
        <v>81</v>
      </c>
      <c r="C672" s="5" t="s">
        <v>216</v>
      </c>
      <c r="D672" s="5" t="s">
        <v>53</v>
      </c>
      <c r="E672" s="5" t="s">
        <v>132</v>
      </c>
      <c r="F672" s="5" t="s">
        <v>55</v>
      </c>
      <c r="G672" s="14">
        <v>44011</v>
      </c>
      <c r="H672" s="5">
        <v>100615727</v>
      </c>
      <c r="I672" s="14">
        <v>44019</v>
      </c>
      <c r="J672" s="5">
        <v>3284</v>
      </c>
      <c r="K672" s="15">
        <v>9.33</v>
      </c>
      <c r="L672" s="15">
        <v>6.92</v>
      </c>
      <c r="M672" s="15">
        <v>30639.72</v>
      </c>
      <c r="N672" s="15">
        <v>22725.279999999999</v>
      </c>
      <c r="O672" s="16">
        <v>7914.4400000000023</v>
      </c>
    </row>
    <row r="673" spans="2:15" ht="18.75" hidden="1" x14ac:dyDescent="0.25">
      <c r="B673" s="4" t="s">
        <v>60</v>
      </c>
      <c r="C673" s="5" t="s">
        <v>217</v>
      </c>
      <c r="D673" s="5" t="s">
        <v>80</v>
      </c>
      <c r="E673" s="5" t="s">
        <v>132</v>
      </c>
      <c r="F673" s="5" t="s">
        <v>70</v>
      </c>
      <c r="G673" s="14">
        <v>41189</v>
      </c>
      <c r="H673" s="5">
        <v>100616157</v>
      </c>
      <c r="I673" s="14">
        <v>41192</v>
      </c>
      <c r="J673" s="5">
        <v>3411</v>
      </c>
      <c r="K673" s="15">
        <v>668.27</v>
      </c>
      <c r="L673" s="15">
        <v>502.54</v>
      </c>
      <c r="M673" s="15">
        <v>2279468.9699999997</v>
      </c>
      <c r="N673" s="15">
        <v>1714163.9400000002</v>
      </c>
      <c r="O673" s="16">
        <v>565305.02999999956</v>
      </c>
    </row>
    <row r="674" spans="2:15" ht="18.75" hidden="1" x14ac:dyDescent="0.25">
      <c r="B674" s="4" t="s">
        <v>51</v>
      </c>
      <c r="C674" s="5" t="s">
        <v>98</v>
      </c>
      <c r="D674" s="5" t="s">
        <v>100</v>
      </c>
      <c r="E674" s="5" t="s">
        <v>132</v>
      </c>
      <c r="F674" s="5" t="s">
        <v>70</v>
      </c>
      <c r="G674" s="14">
        <v>42326</v>
      </c>
      <c r="H674" s="5">
        <v>100616586</v>
      </c>
      <c r="I674" s="14">
        <v>42376</v>
      </c>
      <c r="J674" s="5">
        <v>3538</v>
      </c>
      <c r="K674" s="15">
        <v>205.7</v>
      </c>
      <c r="L674" s="15">
        <v>117.11</v>
      </c>
      <c r="M674" s="15">
        <v>727766.6</v>
      </c>
      <c r="N674" s="15">
        <v>414335.18</v>
      </c>
      <c r="O674" s="16">
        <v>313431.42</v>
      </c>
    </row>
    <row r="675" spans="2:15" ht="18.75" hidden="1" x14ac:dyDescent="0.25">
      <c r="B675" s="4" t="s">
        <v>74</v>
      </c>
      <c r="C675" s="5" t="s">
        <v>162</v>
      </c>
      <c r="D675" s="5" t="s">
        <v>88</v>
      </c>
      <c r="E675" s="5" t="s">
        <v>132</v>
      </c>
      <c r="F675" s="5" t="s">
        <v>63</v>
      </c>
      <c r="G675" s="14">
        <v>40642</v>
      </c>
      <c r="H675" s="5">
        <v>100617444</v>
      </c>
      <c r="I675" s="14">
        <v>40683</v>
      </c>
      <c r="J675" s="5">
        <v>3792</v>
      </c>
      <c r="K675" s="15">
        <v>152.58000000000001</v>
      </c>
      <c r="L675" s="15">
        <v>97.44</v>
      </c>
      <c r="M675" s="15">
        <v>578583.3600000001</v>
      </c>
      <c r="N675" s="15">
        <v>369492.47999999998</v>
      </c>
      <c r="O675" s="16">
        <v>209090.88000000012</v>
      </c>
    </row>
    <row r="676" spans="2:15" ht="18.75" hidden="1" x14ac:dyDescent="0.25">
      <c r="B676" s="4" t="s">
        <v>51</v>
      </c>
      <c r="C676" s="5" t="s">
        <v>227</v>
      </c>
      <c r="D676" s="5" t="s">
        <v>78</v>
      </c>
      <c r="E676" s="5" t="s">
        <v>132</v>
      </c>
      <c r="F676" s="5" t="s">
        <v>55</v>
      </c>
      <c r="G676" s="14">
        <v>44054</v>
      </c>
      <c r="H676" s="5">
        <v>100618731</v>
      </c>
      <c r="I676" s="14">
        <v>44082</v>
      </c>
      <c r="J676" s="5">
        <v>4173</v>
      </c>
      <c r="K676" s="15">
        <v>47.45</v>
      </c>
      <c r="L676" s="15">
        <v>31.79</v>
      </c>
      <c r="M676" s="15">
        <v>198008.85</v>
      </c>
      <c r="N676" s="15">
        <v>132659.66999999998</v>
      </c>
      <c r="O676" s="16">
        <v>65349.180000000022</v>
      </c>
    </row>
    <row r="677" spans="2:15" ht="18.75" hidden="1" x14ac:dyDescent="0.25">
      <c r="B677" s="4" t="s">
        <v>81</v>
      </c>
      <c r="C677" s="5" t="s">
        <v>102</v>
      </c>
      <c r="D677" s="5" t="s">
        <v>96</v>
      </c>
      <c r="E677" s="5" t="s">
        <v>132</v>
      </c>
      <c r="F677" s="5" t="s">
        <v>70</v>
      </c>
      <c r="G677" s="14">
        <v>41232</v>
      </c>
      <c r="H677" s="5">
        <v>100619161</v>
      </c>
      <c r="I677" s="14">
        <v>41256</v>
      </c>
      <c r="J677" s="5">
        <v>4300</v>
      </c>
      <c r="K677" s="15">
        <v>154.06</v>
      </c>
      <c r="L677" s="15">
        <v>90.93</v>
      </c>
      <c r="M677" s="15">
        <v>662458</v>
      </c>
      <c r="N677" s="15">
        <v>390999.00000000006</v>
      </c>
      <c r="O677" s="16">
        <v>271458.99999999994</v>
      </c>
    </row>
    <row r="678" spans="2:15" ht="18.75" hidden="1" x14ac:dyDescent="0.25">
      <c r="B678" s="4" t="s">
        <v>60</v>
      </c>
      <c r="C678" s="5" t="s">
        <v>164</v>
      </c>
      <c r="D678" s="5" t="s">
        <v>80</v>
      </c>
      <c r="E678" s="5" t="s">
        <v>132</v>
      </c>
      <c r="F678" s="5" t="s">
        <v>70</v>
      </c>
      <c r="G678" s="14">
        <v>42370</v>
      </c>
      <c r="H678" s="5">
        <v>100619590</v>
      </c>
      <c r="I678" s="14">
        <v>42390</v>
      </c>
      <c r="J678" s="5">
        <v>4427</v>
      </c>
      <c r="K678" s="15">
        <v>668.27</v>
      </c>
      <c r="L678" s="15">
        <v>502.54</v>
      </c>
      <c r="M678" s="15">
        <v>2958431.29</v>
      </c>
      <c r="N678" s="15">
        <v>2224744.58</v>
      </c>
      <c r="O678" s="16">
        <v>733686.71</v>
      </c>
    </row>
    <row r="679" spans="2:15" ht="18.75" hidden="1" x14ac:dyDescent="0.25">
      <c r="B679" s="4" t="s">
        <v>81</v>
      </c>
      <c r="C679" s="5" t="s">
        <v>194</v>
      </c>
      <c r="D679" s="5" t="s">
        <v>65</v>
      </c>
      <c r="E679" s="5" t="s">
        <v>132</v>
      </c>
      <c r="F679" s="5" t="s">
        <v>59</v>
      </c>
      <c r="G679" s="14">
        <v>40685</v>
      </c>
      <c r="H679" s="5">
        <v>100620448</v>
      </c>
      <c r="I679" s="14">
        <v>40696</v>
      </c>
      <c r="J679" s="5">
        <v>4681</v>
      </c>
      <c r="K679" s="15">
        <v>651.21</v>
      </c>
      <c r="L679" s="15">
        <v>524.96</v>
      </c>
      <c r="M679" s="15">
        <v>3048314.0100000002</v>
      </c>
      <c r="N679" s="15">
        <v>2457337.7600000002</v>
      </c>
      <c r="O679" s="16">
        <v>590976.25</v>
      </c>
    </row>
    <row r="680" spans="2:15" ht="18.75" hidden="1" x14ac:dyDescent="0.25">
      <c r="B680" s="4" t="s">
        <v>74</v>
      </c>
      <c r="C680" s="5" t="s">
        <v>104</v>
      </c>
      <c r="D680" s="5" t="s">
        <v>78</v>
      </c>
      <c r="E680" s="5" t="s">
        <v>132</v>
      </c>
      <c r="F680" s="5" t="s">
        <v>55</v>
      </c>
      <c r="G680" s="14">
        <v>41275</v>
      </c>
      <c r="H680" s="5">
        <v>100622165</v>
      </c>
      <c r="I680" s="14">
        <v>41319</v>
      </c>
      <c r="J680" s="5">
        <v>5189</v>
      </c>
      <c r="K680" s="15">
        <v>47.45</v>
      </c>
      <c r="L680" s="15">
        <v>31.79</v>
      </c>
      <c r="M680" s="15">
        <v>246218.05000000002</v>
      </c>
      <c r="N680" s="15">
        <v>164958.31</v>
      </c>
      <c r="O680" s="16">
        <v>81259.74000000002</v>
      </c>
    </row>
    <row r="681" spans="2:15" ht="18.75" hidden="1" x14ac:dyDescent="0.25">
      <c r="B681" s="4" t="s">
        <v>56</v>
      </c>
      <c r="C681" s="5" t="s">
        <v>166</v>
      </c>
      <c r="D681" s="5" t="s">
        <v>80</v>
      </c>
      <c r="E681" s="5" t="s">
        <v>132</v>
      </c>
      <c r="F681" s="5" t="s">
        <v>59</v>
      </c>
      <c r="G681" s="14">
        <v>43550</v>
      </c>
      <c r="H681" s="5">
        <v>100623023</v>
      </c>
      <c r="I681" s="14">
        <v>43586</v>
      </c>
      <c r="J681" s="5">
        <v>5443</v>
      </c>
      <c r="K681" s="15">
        <v>668.27</v>
      </c>
      <c r="L681" s="15">
        <v>502.54</v>
      </c>
      <c r="M681" s="15">
        <v>3637393.61</v>
      </c>
      <c r="N681" s="15">
        <v>2735325.22</v>
      </c>
      <c r="O681" s="16">
        <v>902068.38999999966</v>
      </c>
    </row>
    <row r="682" spans="2:15" ht="18.75" hidden="1" x14ac:dyDescent="0.25">
      <c r="B682" s="4" t="s">
        <v>51</v>
      </c>
      <c r="C682" s="5" t="s">
        <v>168</v>
      </c>
      <c r="D682" s="5" t="s">
        <v>62</v>
      </c>
      <c r="E682" s="5" t="s">
        <v>132</v>
      </c>
      <c r="F682" s="5" t="s">
        <v>55</v>
      </c>
      <c r="G682" s="14">
        <v>40181</v>
      </c>
      <c r="H682" s="5">
        <v>100624740</v>
      </c>
      <c r="I682" s="14">
        <v>40199</v>
      </c>
      <c r="J682" s="5">
        <v>5951</v>
      </c>
      <c r="K682" s="15">
        <v>437.2</v>
      </c>
      <c r="L682" s="15">
        <v>263.33</v>
      </c>
      <c r="M682" s="15">
        <v>2601777.1999999997</v>
      </c>
      <c r="N682" s="15">
        <v>1567076.8299999998</v>
      </c>
      <c r="O682" s="16">
        <v>1034700.3699999999</v>
      </c>
    </row>
    <row r="683" spans="2:15" ht="18.75" hidden="1" x14ac:dyDescent="0.25">
      <c r="B683" s="4" t="s">
        <v>51</v>
      </c>
      <c r="C683" s="5" t="s">
        <v>244</v>
      </c>
      <c r="D683" s="5" t="s">
        <v>96</v>
      </c>
      <c r="E683" s="5" t="s">
        <v>132</v>
      </c>
      <c r="F683" s="5" t="s">
        <v>70</v>
      </c>
      <c r="G683" s="14">
        <v>43593</v>
      </c>
      <c r="H683" s="5">
        <v>100626027</v>
      </c>
      <c r="I683" s="14">
        <v>43598</v>
      </c>
      <c r="J683" s="5">
        <v>6332</v>
      </c>
      <c r="K683" s="15">
        <v>154.06</v>
      </c>
      <c r="L683" s="15">
        <v>90.93</v>
      </c>
      <c r="M683" s="15">
        <v>975507.92</v>
      </c>
      <c r="N683" s="15">
        <v>575768.76</v>
      </c>
      <c r="O683" s="16">
        <v>399739.16000000003</v>
      </c>
    </row>
    <row r="684" spans="2:15" ht="18.75" hidden="1" x14ac:dyDescent="0.25">
      <c r="B684" s="4" t="s">
        <v>74</v>
      </c>
      <c r="C684" s="5" t="s">
        <v>220</v>
      </c>
      <c r="D684" s="5" t="s">
        <v>62</v>
      </c>
      <c r="E684" s="5" t="s">
        <v>132</v>
      </c>
      <c r="F684" s="5" t="s">
        <v>55</v>
      </c>
      <c r="G684" s="14">
        <v>41362</v>
      </c>
      <c r="H684" s="5">
        <v>100628173</v>
      </c>
      <c r="I684" s="14">
        <v>41396</v>
      </c>
      <c r="J684" s="5">
        <v>6967</v>
      </c>
      <c r="K684" s="15">
        <v>437.2</v>
      </c>
      <c r="L684" s="15">
        <v>263.33</v>
      </c>
      <c r="M684" s="15">
        <v>3045972.4</v>
      </c>
      <c r="N684" s="15">
        <v>1834620.1099999999</v>
      </c>
      <c r="O684" s="16">
        <v>1211352.29</v>
      </c>
    </row>
    <row r="685" spans="2:15" ht="18.75" hidden="1" x14ac:dyDescent="0.25">
      <c r="B685" s="4" t="s">
        <v>72</v>
      </c>
      <c r="C685" s="5" t="s">
        <v>173</v>
      </c>
      <c r="D685" s="5" t="s">
        <v>93</v>
      </c>
      <c r="E685" s="5" t="s">
        <v>132</v>
      </c>
      <c r="F685" s="5" t="s">
        <v>70</v>
      </c>
      <c r="G685" s="14">
        <v>42499</v>
      </c>
      <c r="H685" s="5">
        <v>100628602</v>
      </c>
      <c r="I685" s="14">
        <v>42529</v>
      </c>
      <c r="J685" s="5">
        <v>7094</v>
      </c>
      <c r="K685" s="15">
        <v>81.73</v>
      </c>
      <c r="L685" s="15">
        <v>56.67</v>
      </c>
      <c r="M685" s="15">
        <v>579792.62</v>
      </c>
      <c r="N685" s="15">
        <v>402016.98000000004</v>
      </c>
      <c r="O685" s="16">
        <v>177775.63999999996</v>
      </c>
    </row>
    <row r="686" spans="2:15" ht="18.75" hidden="1" x14ac:dyDescent="0.25">
      <c r="B686" s="4" t="s">
        <v>51</v>
      </c>
      <c r="C686" s="5" t="s">
        <v>114</v>
      </c>
      <c r="D686" s="5" t="s">
        <v>65</v>
      </c>
      <c r="E686" s="5" t="s">
        <v>132</v>
      </c>
      <c r="F686" s="5" t="s">
        <v>63</v>
      </c>
      <c r="G686" s="14">
        <v>40268</v>
      </c>
      <c r="H686" s="5">
        <v>100630748</v>
      </c>
      <c r="I686" s="14">
        <v>40276</v>
      </c>
      <c r="J686" s="5">
        <v>7729</v>
      </c>
      <c r="K686" s="15">
        <v>651.21</v>
      </c>
      <c r="L686" s="15">
        <v>524.96</v>
      </c>
      <c r="M686" s="15">
        <v>5033202.09</v>
      </c>
      <c r="N686" s="15">
        <v>4057415.8400000003</v>
      </c>
      <c r="O686" s="16">
        <v>975786.24999999953</v>
      </c>
    </row>
    <row r="687" spans="2:15" ht="18.75" hidden="1" x14ac:dyDescent="0.25">
      <c r="B687" s="4" t="s">
        <v>51</v>
      </c>
      <c r="C687" s="5" t="s">
        <v>174</v>
      </c>
      <c r="D687" s="5" t="s">
        <v>93</v>
      </c>
      <c r="E687" s="5" t="s">
        <v>132</v>
      </c>
      <c r="F687" s="5" t="s">
        <v>70</v>
      </c>
      <c r="G687" s="14">
        <v>43680</v>
      </c>
      <c r="H687" s="5">
        <v>100632035</v>
      </c>
      <c r="I687" s="14">
        <v>43726</v>
      </c>
      <c r="J687" s="5">
        <v>8110</v>
      </c>
      <c r="K687" s="15">
        <v>81.73</v>
      </c>
      <c r="L687" s="15">
        <v>56.67</v>
      </c>
      <c r="M687" s="15">
        <v>662830.30000000005</v>
      </c>
      <c r="N687" s="15">
        <v>459593.7</v>
      </c>
      <c r="O687" s="16">
        <v>203236.60000000003</v>
      </c>
    </row>
    <row r="688" spans="2:15" ht="18.75" hidden="1" x14ac:dyDescent="0.25">
      <c r="B688" s="4" t="s">
        <v>56</v>
      </c>
      <c r="C688" s="5" t="s">
        <v>239</v>
      </c>
      <c r="D688" s="5" t="s">
        <v>100</v>
      </c>
      <c r="E688" s="5" t="s">
        <v>132</v>
      </c>
      <c r="F688" s="5" t="s">
        <v>63</v>
      </c>
      <c r="G688" s="14">
        <v>40311</v>
      </c>
      <c r="H688" s="5">
        <v>100633752</v>
      </c>
      <c r="I688" s="14">
        <v>40340</v>
      </c>
      <c r="J688" s="5">
        <v>8618</v>
      </c>
      <c r="K688" s="15">
        <v>205.7</v>
      </c>
      <c r="L688" s="15">
        <v>117.11</v>
      </c>
      <c r="M688" s="15">
        <v>1772722.5999999999</v>
      </c>
      <c r="N688" s="15">
        <v>1009253.98</v>
      </c>
      <c r="O688" s="16">
        <v>763468.61999999988</v>
      </c>
    </row>
    <row r="689" spans="2:15" ht="18.75" hidden="1" x14ac:dyDescent="0.25">
      <c r="B689" s="4" t="s">
        <v>51</v>
      </c>
      <c r="C689" s="5" t="s">
        <v>52</v>
      </c>
      <c r="D689" s="5" t="s">
        <v>65</v>
      </c>
      <c r="E689" s="5" t="s">
        <v>132</v>
      </c>
      <c r="F689" s="5" t="s">
        <v>55</v>
      </c>
      <c r="G689" s="14">
        <v>41448</v>
      </c>
      <c r="H689" s="5">
        <v>100634181</v>
      </c>
      <c r="I689" s="14">
        <v>41472</v>
      </c>
      <c r="J689" s="5">
        <v>8745</v>
      </c>
      <c r="K689" s="15">
        <v>651.21</v>
      </c>
      <c r="L689" s="15">
        <v>524.96</v>
      </c>
      <c r="M689" s="15">
        <v>5694831.4500000002</v>
      </c>
      <c r="N689" s="15">
        <v>4590775.2</v>
      </c>
      <c r="O689" s="16">
        <v>1104056.25</v>
      </c>
    </row>
    <row r="690" spans="2:15" ht="18.75" hidden="1" x14ac:dyDescent="0.25">
      <c r="B690" s="4" t="s">
        <v>81</v>
      </c>
      <c r="C690" s="5" t="s">
        <v>176</v>
      </c>
      <c r="D690" s="5" t="s">
        <v>78</v>
      </c>
      <c r="E690" s="5" t="s">
        <v>132</v>
      </c>
      <c r="F690" s="5" t="s">
        <v>59</v>
      </c>
      <c r="G690" s="14">
        <v>42038</v>
      </c>
      <c r="H690" s="5">
        <v>100635898</v>
      </c>
      <c r="I690" s="14">
        <v>42045</v>
      </c>
      <c r="J690" s="5">
        <v>9253</v>
      </c>
      <c r="K690" s="15">
        <v>47.45</v>
      </c>
      <c r="L690" s="15">
        <v>31.79</v>
      </c>
      <c r="M690" s="15">
        <v>439054.85000000003</v>
      </c>
      <c r="N690" s="15">
        <v>294152.87</v>
      </c>
      <c r="O690" s="16">
        <v>144901.98000000004</v>
      </c>
    </row>
    <row r="691" spans="2:15" ht="18.75" hidden="1" x14ac:dyDescent="0.25">
      <c r="B691" s="4" t="s">
        <v>60</v>
      </c>
      <c r="C691" s="5" t="s">
        <v>61</v>
      </c>
      <c r="D691" s="5" t="s">
        <v>96</v>
      </c>
      <c r="E691" s="5" t="s">
        <v>132</v>
      </c>
      <c r="F691" s="5" t="s">
        <v>59</v>
      </c>
      <c r="G691" s="14">
        <v>43176</v>
      </c>
      <c r="H691" s="5">
        <v>100636327</v>
      </c>
      <c r="I691" s="14">
        <v>43179</v>
      </c>
      <c r="J691" s="5">
        <v>9380</v>
      </c>
      <c r="K691" s="15">
        <v>154.06</v>
      </c>
      <c r="L691" s="15">
        <v>90.93</v>
      </c>
      <c r="M691" s="15">
        <v>1445082.8</v>
      </c>
      <c r="N691" s="15">
        <v>852923.4</v>
      </c>
      <c r="O691" s="16">
        <v>592159.4</v>
      </c>
    </row>
    <row r="692" spans="2:15" ht="18.75" hidden="1" x14ac:dyDescent="0.25">
      <c r="B692" s="4" t="s">
        <v>74</v>
      </c>
      <c r="C692" s="5" t="s">
        <v>178</v>
      </c>
      <c r="D692" s="5" t="s">
        <v>76</v>
      </c>
      <c r="E692" s="5" t="s">
        <v>132</v>
      </c>
      <c r="F692" s="5" t="s">
        <v>55</v>
      </c>
      <c r="G692" s="14">
        <v>42629</v>
      </c>
      <c r="H692" s="5">
        <v>100637614</v>
      </c>
      <c r="I692" s="14">
        <v>42670</v>
      </c>
      <c r="J692" s="5">
        <v>9761</v>
      </c>
      <c r="K692" s="15">
        <v>421.89</v>
      </c>
      <c r="L692" s="15">
        <v>364.69</v>
      </c>
      <c r="M692" s="15">
        <v>4118068.29</v>
      </c>
      <c r="N692" s="15">
        <v>3559739.09</v>
      </c>
      <c r="O692" s="16">
        <v>558329.20000000019</v>
      </c>
    </row>
    <row r="693" spans="2:15" ht="18.75" hidden="1" x14ac:dyDescent="0.25">
      <c r="B693" s="4" t="s">
        <v>72</v>
      </c>
      <c r="C693" s="5" t="s">
        <v>245</v>
      </c>
      <c r="D693" s="5" t="s">
        <v>88</v>
      </c>
      <c r="E693" s="5" t="s">
        <v>132</v>
      </c>
      <c r="F693" s="5" t="s">
        <v>70</v>
      </c>
      <c r="G693" s="14">
        <v>43766</v>
      </c>
      <c r="H693" s="5">
        <v>100638043</v>
      </c>
      <c r="I693" s="14">
        <v>43802</v>
      </c>
      <c r="J693" s="5">
        <v>9888</v>
      </c>
      <c r="K693" s="15">
        <v>152.58000000000001</v>
      </c>
      <c r="L693" s="15">
        <v>97.44</v>
      </c>
      <c r="M693" s="15">
        <v>1508711.04</v>
      </c>
      <c r="N693" s="15">
        <v>963486.71999999997</v>
      </c>
      <c r="O693" s="16">
        <v>545224.32000000007</v>
      </c>
    </row>
    <row r="694" spans="2:15" ht="18.75" hidden="1" x14ac:dyDescent="0.25">
      <c r="B694" s="4" t="s">
        <v>56</v>
      </c>
      <c r="C694" s="5" t="s">
        <v>246</v>
      </c>
      <c r="D694" s="5" t="s">
        <v>53</v>
      </c>
      <c r="E694" s="5" t="s">
        <v>132</v>
      </c>
      <c r="F694" s="5" t="s">
        <v>70</v>
      </c>
      <c r="G694" s="14">
        <v>40944</v>
      </c>
      <c r="H694" s="5">
        <v>100638473</v>
      </c>
      <c r="I694" s="14">
        <v>40976</v>
      </c>
      <c r="J694" s="5">
        <v>15</v>
      </c>
      <c r="K694" s="15">
        <v>9.33</v>
      </c>
      <c r="L694" s="15">
        <v>6.92</v>
      </c>
      <c r="M694" s="15">
        <v>139.94999999999999</v>
      </c>
      <c r="N694" s="15">
        <v>103.8</v>
      </c>
      <c r="O694" s="16">
        <v>36.149999999999991</v>
      </c>
    </row>
    <row r="695" spans="2:15" ht="18.75" hidden="1" x14ac:dyDescent="0.25">
      <c r="B695" s="4" t="s">
        <v>51</v>
      </c>
      <c r="C695" s="5" t="s">
        <v>202</v>
      </c>
      <c r="D695" s="5" t="s">
        <v>93</v>
      </c>
      <c r="E695" s="5" t="s">
        <v>132</v>
      </c>
      <c r="F695" s="5" t="s">
        <v>59</v>
      </c>
      <c r="G695" s="14">
        <v>42082</v>
      </c>
      <c r="H695" s="5">
        <v>100638902</v>
      </c>
      <c r="I695" s="14">
        <v>42110</v>
      </c>
      <c r="J695" s="5">
        <v>142</v>
      </c>
      <c r="K695" s="15">
        <v>81.73</v>
      </c>
      <c r="L695" s="15">
        <v>56.67</v>
      </c>
      <c r="M695" s="15">
        <v>11605.66</v>
      </c>
      <c r="N695" s="15">
        <v>8047.14</v>
      </c>
      <c r="O695" s="16">
        <v>3558.5199999999995</v>
      </c>
    </row>
    <row r="696" spans="2:15" ht="18.75" hidden="1" x14ac:dyDescent="0.25">
      <c r="B696" s="4" t="s">
        <v>56</v>
      </c>
      <c r="C696" s="5" t="s">
        <v>124</v>
      </c>
      <c r="D696" s="5" t="s">
        <v>96</v>
      </c>
      <c r="E696" s="5" t="s">
        <v>132</v>
      </c>
      <c r="F696" s="5" t="s">
        <v>63</v>
      </c>
      <c r="G696" s="14">
        <v>40397</v>
      </c>
      <c r="H696" s="5">
        <v>100639760</v>
      </c>
      <c r="I696" s="14">
        <v>40416</v>
      </c>
      <c r="J696" s="5">
        <v>396</v>
      </c>
      <c r="K696" s="15">
        <v>154.06</v>
      </c>
      <c r="L696" s="15">
        <v>90.93</v>
      </c>
      <c r="M696" s="15">
        <v>61007.76</v>
      </c>
      <c r="N696" s="15">
        <v>36008.280000000006</v>
      </c>
      <c r="O696" s="16">
        <v>24999.479999999996</v>
      </c>
    </row>
    <row r="697" spans="2:15" ht="18.75" hidden="1" x14ac:dyDescent="0.25">
      <c r="B697" s="4" t="s">
        <v>81</v>
      </c>
      <c r="C697" s="5" t="s">
        <v>126</v>
      </c>
      <c r="D697" s="5" t="s">
        <v>100</v>
      </c>
      <c r="E697" s="5" t="s">
        <v>132</v>
      </c>
      <c r="F697" s="5" t="s">
        <v>55</v>
      </c>
      <c r="G697" s="14">
        <v>42672</v>
      </c>
      <c r="H697" s="5">
        <v>100640618</v>
      </c>
      <c r="I697" s="14">
        <v>42682</v>
      </c>
      <c r="J697" s="5">
        <v>650</v>
      </c>
      <c r="K697" s="15">
        <v>205.7</v>
      </c>
      <c r="L697" s="15">
        <v>117.11</v>
      </c>
      <c r="M697" s="15">
        <v>133705</v>
      </c>
      <c r="N697" s="15">
        <v>76121.5</v>
      </c>
      <c r="O697" s="16">
        <v>57583.5</v>
      </c>
    </row>
    <row r="698" spans="2:15" ht="18.75" hidden="1" x14ac:dyDescent="0.25">
      <c r="B698" s="4" t="s">
        <v>60</v>
      </c>
      <c r="C698" s="5" t="s">
        <v>69</v>
      </c>
      <c r="D698" s="5" t="s">
        <v>76</v>
      </c>
      <c r="E698" s="5" t="s">
        <v>132</v>
      </c>
      <c r="F698" s="5" t="s">
        <v>55</v>
      </c>
      <c r="G698" s="14">
        <v>43809</v>
      </c>
      <c r="H698" s="5">
        <v>100641047</v>
      </c>
      <c r="I698" s="14">
        <v>43815</v>
      </c>
      <c r="J698" s="5">
        <v>777</v>
      </c>
      <c r="K698" s="15">
        <v>421.89</v>
      </c>
      <c r="L698" s="15">
        <v>364.69</v>
      </c>
      <c r="M698" s="15">
        <v>327808.52999999997</v>
      </c>
      <c r="N698" s="15">
        <v>283364.13</v>
      </c>
      <c r="O698" s="16">
        <v>44444.399999999965</v>
      </c>
    </row>
    <row r="699" spans="2:15" ht="18.75" hidden="1" x14ac:dyDescent="0.25">
      <c r="B699" s="4" t="s">
        <v>51</v>
      </c>
      <c r="C699" s="5" t="s">
        <v>128</v>
      </c>
      <c r="D699" s="5" t="s">
        <v>88</v>
      </c>
      <c r="E699" s="5" t="s">
        <v>132</v>
      </c>
      <c r="F699" s="5" t="s">
        <v>70</v>
      </c>
      <c r="G699" s="14">
        <v>40987</v>
      </c>
      <c r="H699" s="5">
        <v>100641477</v>
      </c>
      <c r="I699" s="14">
        <v>40988</v>
      </c>
      <c r="J699" s="5">
        <v>904</v>
      </c>
      <c r="K699" s="15">
        <v>152.58000000000001</v>
      </c>
      <c r="L699" s="15">
        <v>97.44</v>
      </c>
      <c r="M699" s="15">
        <v>137932.32</v>
      </c>
      <c r="N699" s="15">
        <v>88085.759999999995</v>
      </c>
      <c r="O699" s="16">
        <v>49846.560000000012</v>
      </c>
    </row>
    <row r="700" spans="2:15" ht="18.75" hidden="1" x14ac:dyDescent="0.25">
      <c r="B700" s="4" t="s">
        <v>81</v>
      </c>
      <c r="C700" s="5" t="s">
        <v>129</v>
      </c>
      <c r="D700" s="5" t="s">
        <v>53</v>
      </c>
      <c r="E700" s="5" t="s">
        <v>132</v>
      </c>
      <c r="F700" s="5" t="s">
        <v>59</v>
      </c>
      <c r="G700" s="14">
        <v>42125</v>
      </c>
      <c r="H700" s="5">
        <v>100641906</v>
      </c>
      <c r="I700" s="14">
        <v>42173</v>
      </c>
      <c r="J700" s="5">
        <v>1031</v>
      </c>
      <c r="K700" s="15">
        <v>9.33</v>
      </c>
      <c r="L700" s="15">
        <v>6.92</v>
      </c>
      <c r="M700" s="15">
        <v>9619.23</v>
      </c>
      <c r="N700" s="15">
        <v>7134.5199999999995</v>
      </c>
      <c r="O700" s="16">
        <v>2484.71</v>
      </c>
    </row>
    <row r="701" spans="2:15" ht="18.75" hidden="1" x14ac:dyDescent="0.25">
      <c r="B701" s="4" t="s">
        <v>81</v>
      </c>
      <c r="C701" s="5" t="s">
        <v>181</v>
      </c>
      <c r="D701" s="5" t="s">
        <v>96</v>
      </c>
      <c r="E701" s="5" t="s">
        <v>132</v>
      </c>
      <c r="F701" s="5" t="s">
        <v>63</v>
      </c>
      <c r="G701" s="14">
        <v>41578</v>
      </c>
      <c r="H701" s="5">
        <v>100643193</v>
      </c>
      <c r="I701" s="14">
        <v>41613</v>
      </c>
      <c r="J701" s="5">
        <v>1412</v>
      </c>
      <c r="K701" s="15">
        <v>154.06</v>
      </c>
      <c r="L701" s="15">
        <v>90.93</v>
      </c>
      <c r="M701" s="15">
        <v>217532.72</v>
      </c>
      <c r="N701" s="15">
        <v>128393.16</v>
      </c>
      <c r="O701" s="16">
        <v>89139.56</v>
      </c>
    </row>
    <row r="702" spans="2:15" ht="18.75" hidden="1" x14ac:dyDescent="0.25">
      <c r="B702" s="4" t="s">
        <v>74</v>
      </c>
      <c r="C702" s="5" t="s">
        <v>75</v>
      </c>
      <c r="D702" s="5" t="s">
        <v>68</v>
      </c>
      <c r="E702" s="5" t="s">
        <v>132</v>
      </c>
      <c r="F702" s="5" t="s">
        <v>55</v>
      </c>
      <c r="G702" s="14">
        <v>42715</v>
      </c>
      <c r="H702" s="5">
        <v>100643622</v>
      </c>
      <c r="I702" s="14">
        <v>42746</v>
      </c>
      <c r="J702" s="5">
        <v>1539</v>
      </c>
      <c r="K702" s="15">
        <v>109.28</v>
      </c>
      <c r="L702" s="15">
        <v>35.840000000000003</v>
      </c>
      <c r="M702" s="15">
        <v>168181.92</v>
      </c>
      <c r="N702" s="15">
        <v>55157.760000000002</v>
      </c>
      <c r="O702" s="16">
        <v>113024.16</v>
      </c>
    </row>
    <row r="703" spans="2:15" ht="18.75" x14ac:dyDescent="0.25">
      <c r="B703" s="4" t="s">
        <v>72</v>
      </c>
      <c r="C703" s="5" t="s">
        <v>134</v>
      </c>
      <c r="D703" s="5" t="s">
        <v>100</v>
      </c>
      <c r="E703" s="5" t="s">
        <v>132</v>
      </c>
      <c r="F703" s="5" t="s">
        <v>55</v>
      </c>
      <c r="G703" s="14">
        <v>43852</v>
      </c>
      <c r="H703" s="5">
        <v>100644052</v>
      </c>
      <c r="I703" s="14">
        <v>43878</v>
      </c>
      <c r="J703" s="5">
        <v>1666</v>
      </c>
      <c r="K703" s="15">
        <v>205.7</v>
      </c>
      <c r="L703" s="15">
        <v>117.11</v>
      </c>
      <c r="M703" s="15">
        <v>342696.19999999995</v>
      </c>
      <c r="N703" s="15">
        <v>195105.26</v>
      </c>
      <c r="O703" s="16">
        <v>147590.93999999994</v>
      </c>
    </row>
    <row r="704" spans="2:15" ht="18.75" hidden="1" x14ac:dyDescent="0.25">
      <c r="B704" s="4" t="s">
        <v>56</v>
      </c>
      <c r="C704" s="5" t="s">
        <v>183</v>
      </c>
      <c r="D704" s="5" t="s">
        <v>76</v>
      </c>
      <c r="E704" s="5" t="s">
        <v>132</v>
      </c>
      <c r="F704" s="5" t="s">
        <v>70</v>
      </c>
      <c r="G704" s="14">
        <v>41031</v>
      </c>
      <c r="H704" s="5">
        <v>100644481</v>
      </c>
      <c r="I704" s="14">
        <v>41053</v>
      </c>
      <c r="J704" s="5">
        <v>1793</v>
      </c>
      <c r="K704" s="15">
        <v>421.89</v>
      </c>
      <c r="L704" s="15">
        <v>364.69</v>
      </c>
      <c r="M704" s="15">
        <v>756448.77</v>
      </c>
      <c r="N704" s="15">
        <v>653889.17000000004</v>
      </c>
      <c r="O704" s="16">
        <v>102559.59999999998</v>
      </c>
    </row>
    <row r="705" spans="2:15" ht="18.75" hidden="1" x14ac:dyDescent="0.25">
      <c r="B705" s="4" t="s">
        <v>60</v>
      </c>
      <c r="C705" s="5" t="s">
        <v>232</v>
      </c>
      <c r="D705" s="5" t="s">
        <v>93</v>
      </c>
      <c r="E705" s="5" t="s">
        <v>132</v>
      </c>
      <c r="F705" s="5" t="s">
        <v>59</v>
      </c>
      <c r="G705" s="14">
        <v>40484</v>
      </c>
      <c r="H705" s="5">
        <v>100645768</v>
      </c>
      <c r="I705" s="14">
        <v>40493</v>
      </c>
      <c r="J705" s="5">
        <v>2174</v>
      </c>
      <c r="K705" s="15">
        <v>81.73</v>
      </c>
      <c r="L705" s="15">
        <v>56.67</v>
      </c>
      <c r="M705" s="15">
        <v>177681.02000000002</v>
      </c>
      <c r="N705" s="15">
        <v>123200.58</v>
      </c>
      <c r="O705" s="16">
        <v>54480.440000000017</v>
      </c>
    </row>
    <row r="706" spans="2:15" ht="18.75" hidden="1" x14ac:dyDescent="0.25">
      <c r="B706" s="4" t="s">
        <v>60</v>
      </c>
      <c r="C706" s="5" t="s">
        <v>139</v>
      </c>
      <c r="D706" s="5" t="s">
        <v>68</v>
      </c>
      <c r="E706" s="5" t="s">
        <v>132</v>
      </c>
      <c r="F706" s="5" t="s">
        <v>55</v>
      </c>
      <c r="G706" s="14">
        <v>43895</v>
      </c>
      <c r="H706" s="5">
        <v>100647056</v>
      </c>
      <c r="I706" s="14">
        <v>43942</v>
      </c>
      <c r="J706" s="5">
        <v>2555</v>
      </c>
      <c r="K706" s="15">
        <v>109.28</v>
      </c>
      <c r="L706" s="15">
        <v>35.840000000000003</v>
      </c>
      <c r="M706" s="15">
        <v>279210.40000000002</v>
      </c>
      <c r="N706" s="15">
        <v>91571.200000000012</v>
      </c>
      <c r="O706" s="16">
        <v>187639.2</v>
      </c>
    </row>
    <row r="707" spans="2:15" ht="18.75" hidden="1" x14ac:dyDescent="0.25">
      <c r="B707" s="4" t="s">
        <v>51</v>
      </c>
      <c r="C707" s="5" t="s">
        <v>233</v>
      </c>
      <c r="D707" s="5" t="s">
        <v>100</v>
      </c>
      <c r="E707" s="5" t="s">
        <v>132</v>
      </c>
      <c r="F707" s="5" t="s">
        <v>70</v>
      </c>
      <c r="G707" s="14">
        <v>41074</v>
      </c>
      <c r="H707" s="5">
        <v>100647485</v>
      </c>
      <c r="I707" s="14">
        <v>41116</v>
      </c>
      <c r="J707" s="5">
        <v>2682</v>
      </c>
      <c r="K707" s="15">
        <v>205.7</v>
      </c>
      <c r="L707" s="15">
        <v>117.11</v>
      </c>
      <c r="M707" s="15">
        <v>551687.4</v>
      </c>
      <c r="N707" s="15">
        <v>314089.02</v>
      </c>
      <c r="O707" s="16">
        <v>237598.38</v>
      </c>
    </row>
    <row r="708" spans="2:15" ht="18.75" hidden="1" x14ac:dyDescent="0.25">
      <c r="B708" s="4" t="s">
        <v>74</v>
      </c>
      <c r="C708" s="5" t="s">
        <v>185</v>
      </c>
      <c r="D708" s="5" t="s">
        <v>88</v>
      </c>
      <c r="E708" s="5" t="s">
        <v>132</v>
      </c>
      <c r="F708" s="5" t="s">
        <v>59</v>
      </c>
      <c r="G708" s="14">
        <v>43348</v>
      </c>
      <c r="H708" s="5">
        <v>100648343</v>
      </c>
      <c r="I708" s="14">
        <v>43382</v>
      </c>
      <c r="J708" s="5">
        <v>2936</v>
      </c>
      <c r="K708" s="15">
        <v>152.58000000000001</v>
      </c>
      <c r="L708" s="15">
        <v>97.44</v>
      </c>
      <c r="M708" s="15">
        <v>447974.88000000006</v>
      </c>
      <c r="N708" s="15">
        <v>286083.83999999997</v>
      </c>
      <c r="O708" s="16">
        <v>161891.0400000001</v>
      </c>
    </row>
    <row r="709" spans="2:15" ht="18.75" hidden="1" x14ac:dyDescent="0.25">
      <c r="B709" s="4" t="s">
        <v>56</v>
      </c>
      <c r="C709" s="5" t="s">
        <v>203</v>
      </c>
      <c r="D709" s="5" t="s">
        <v>93</v>
      </c>
      <c r="E709" s="5" t="s">
        <v>132</v>
      </c>
      <c r="F709" s="5" t="s">
        <v>63</v>
      </c>
      <c r="G709" s="14">
        <v>41664</v>
      </c>
      <c r="H709" s="5">
        <v>100649201</v>
      </c>
      <c r="I709" s="14">
        <v>41689</v>
      </c>
      <c r="J709" s="5">
        <v>3190</v>
      </c>
      <c r="K709" s="15">
        <v>81.73</v>
      </c>
      <c r="L709" s="15">
        <v>56.67</v>
      </c>
      <c r="M709" s="15">
        <v>260718.7</v>
      </c>
      <c r="N709" s="15">
        <v>180777.30000000002</v>
      </c>
      <c r="O709" s="16">
        <v>79941.399999999994</v>
      </c>
    </row>
    <row r="710" spans="2:15" ht="18.75" hidden="1" x14ac:dyDescent="0.25">
      <c r="B710" s="4" t="s">
        <v>81</v>
      </c>
      <c r="C710" s="5" t="s">
        <v>145</v>
      </c>
      <c r="D710" s="5" t="s">
        <v>76</v>
      </c>
      <c r="E710" s="5" t="s">
        <v>132</v>
      </c>
      <c r="F710" s="5" t="s">
        <v>70</v>
      </c>
      <c r="G710" s="14">
        <v>43392</v>
      </c>
      <c r="H710" s="5">
        <v>100651347</v>
      </c>
      <c r="I710" s="14">
        <v>43395</v>
      </c>
      <c r="J710" s="5">
        <v>3825</v>
      </c>
      <c r="K710" s="15">
        <v>421.89</v>
      </c>
      <c r="L710" s="15">
        <v>364.69</v>
      </c>
      <c r="M710" s="15">
        <v>1613729.25</v>
      </c>
      <c r="N710" s="15">
        <v>1394939.25</v>
      </c>
      <c r="O710" s="16">
        <v>218790</v>
      </c>
    </row>
    <row r="711" spans="2:15" ht="18.75" x14ac:dyDescent="0.25">
      <c r="B711" s="4" t="s">
        <v>74</v>
      </c>
      <c r="C711" s="5" t="s">
        <v>147</v>
      </c>
      <c r="D711" s="5" t="s">
        <v>58</v>
      </c>
      <c r="E711" s="5" t="s">
        <v>132</v>
      </c>
      <c r="F711" s="5" t="s">
        <v>55</v>
      </c>
      <c r="G711" s="14">
        <v>43982</v>
      </c>
      <c r="H711" s="5">
        <v>100653064</v>
      </c>
      <c r="I711" s="14">
        <v>44019</v>
      </c>
      <c r="J711" s="5">
        <v>4333</v>
      </c>
      <c r="K711" s="15">
        <v>255.28</v>
      </c>
      <c r="L711" s="15">
        <v>159.41999999999999</v>
      </c>
      <c r="M711" s="15">
        <v>1106128.24</v>
      </c>
      <c r="N711" s="15">
        <v>690766.86</v>
      </c>
      <c r="O711" s="16">
        <v>415361.38</v>
      </c>
    </row>
    <row r="712" spans="2:15" ht="18.75" hidden="1" x14ac:dyDescent="0.25">
      <c r="B712" s="4" t="s">
        <v>56</v>
      </c>
      <c r="C712" s="5" t="s">
        <v>92</v>
      </c>
      <c r="D712" s="5" t="s">
        <v>68</v>
      </c>
      <c r="E712" s="5" t="s">
        <v>132</v>
      </c>
      <c r="F712" s="5" t="s">
        <v>70</v>
      </c>
      <c r="G712" s="14">
        <v>42297</v>
      </c>
      <c r="H712" s="5">
        <v>100653922</v>
      </c>
      <c r="I712" s="14">
        <v>42325</v>
      </c>
      <c r="J712" s="5">
        <v>4587</v>
      </c>
      <c r="K712" s="15">
        <v>109.28</v>
      </c>
      <c r="L712" s="15">
        <v>35.840000000000003</v>
      </c>
      <c r="M712" s="15">
        <v>501267.36</v>
      </c>
      <c r="N712" s="15">
        <v>164398.08000000002</v>
      </c>
      <c r="O712" s="16">
        <v>336869.27999999997</v>
      </c>
    </row>
    <row r="713" spans="2:15" ht="18.75" hidden="1" x14ac:dyDescent="0.25">
      <c r="B713" s="4" t="s">
        <v>51</v>
      </c>
      <c r="C713" s="5" t="s">
        <v>94</v>
      </c>
      <c r="D713" s="5" t="s">
        <v>100</v>
      </c>
      <c r="E713" s="5" t="s">
        <v>132</v>
      </c>
      <c r="F713" s="5" t="s">
        <v>70</v>
      </c>
      <c r="G713" s="14">
        <v>43435</v>
      </c>
      <c r="H713" s="5">
        <v>100654351</v>
      </c>
      <c r="I713" s="14">
        <v>43459</v>
      </c>
      <c r="J713" s="5">
        <v>4714</v>
      </c>
      <c r="K713" s="15">
        <v>205.7</v>
      </c>
      <c r="L713" s="15">
        <v>117.11</v>
      </c>
      <c r="M713" s="15">
        <v>969669.79999999993</v>
      </c>
      <c r="N713" s="15">
        <v>552056.54</v>
      </c>
      <c r="O713" s="16">
        <v>417613.25999999989</v>
      </c>
    </row>
    <row r="714" spans="2:15" ht="18.75" hidden="1" x14ac:dyDescent="0.25">
      <c r="B714" s="4" t="s">
        <v>66</v>
      </c>
      <c r="C714" s="5" t="s">
        <v>206</v>
      </c>
      <c r="D714" s="5" t="s">
        <v>76</v>
      </c>
      <c r="E714" s="5" t="s">
        <v>132</v>
      </c>
      <c r="F714" s="5" t="s">
        <v>59</v>
      </c>
      <c r="G714" s="14">
        <v>40613</v>
      </c>
      <c r="H714" s="5">
        <v>100654780</v>
      </c>
      <c r="I714" s="14">
        <v>40632</v>
      </c>
      <c r="J714" s="5">
        <v>4841</v>
      </c>
      <c r="K714" s="15">
        <v>421.89</v>
      </c>
      <c r="L714" s="15">
        <v>364.69</v>
      </c>
      <c r="M714" s="15">
        <v>2042369.49</v>
      </c>
      <c r="N714" s="15">
        <v>1765464.29</v>
      </c>
      <c r="O714" s="16">
        <v>276905.19999999995</v>
      </c>
    </row>
    <row r="715" spans="2:15" ht="18.75" hidden="1" x14ac:dyDescent="0.25">
      <c r="B715" s="4" t="s">
        <v>51</v>
      </c>
      <c r="C715" s="5" t="s">
        <v>189</v>
      </c>
      <c r="D715" s="5" t="s">
        <v>53</v>
      </c>
      <c r="E715" s="5" t="s">
        <v>132</v>
      </c>
      <c r="F715" s="5" t="s">
        <v>63</v>
      </c>
      <c r="G715" s="14">
        <v>42888</v>
      </c>
      <c r="H715" s="5">
        <v>100655639</v>
      </c>
      <c r="I715" s="14">
        <v>42899</v>
      </c>
      <c r="J715" s="5">
        <v>5095</v>
      </c>
      <c r="K715" s="15">
        <v>9.33</v>
      </c>
      <c r="L715" s="15">
        <v>6.92</v>
      </c>
      <c r="M715" s="15">
        <v>47536.35</v>
      </c>
      <c r="N715" s="15">
        <v>35257.4</v>
      </c>
      <c r="O715" s="16">
        <v>12278.949999999997</v>
      </c>
    </row>
    <row r="716" spans="2:15" ht="18.75" hidden="1" x14ac:dyDescent="0.25">
      <c r="B716" s="4" t="s">
        <v>60</v>
      </c>
      <c r="C716" s="5" t="s">
        <v>248</v>
      </c>
      <c r="D716" s="5" t="s">
        <v>58</v>
      </c>
      <c r="E716" s="5" t="s">
        <v>132</v>
      </c>
      <c r="F716" s="5" t="s">
        <v>55</v>
      </c>
      <c r="G716" s="14">
        <v>41203</v>
      </c>
      <c r="H716" s="5">
        <v>100656497</v>
      </c>
      <c r="I716" s="14">
        <v>41205</v>
      </c>
      <c r="J716" s="5">
        <v>5349</v>
      </c>
      <c r="K716" s="15">
        <v>255.28</v>
      </c>
      <c r="L716" s="15">
        <v>159.41999999999999</v>
      </c>
      <c r="M716" s="15">
        <v>1365492.72</v>
      </c>
      <c r="N716" s="15">
        <v>852737.58</v>
      </c>
      <c r="O716" s="16">
        <v>512755.14</v>
      </c>
    </row>
    <row r="717" spans="2:15" ht="18.75" hidden="1" x14ac:dyDescent="0.25">
      <c r="B717" s="4" t="s">
        <v>51</v>
      </c>
      <c r="C717" s="5" t="s">
        <v>191</v>
      </c>
      <c r="D717" s="5" t="s">
        <v>65</v>
      </c>
      <c r="E717" s="5" t="s">
        <v>132</v>
      </c>
      <c r="F717" s="5" t="s">
        <v>70</v>
      </c>
      <c r="G717" s="14">
        <v>42341</v>
      </c>
      <c r="H717" s="5">
        <v>100656926</v>
      </c>
      <c r="I717" s="14">
        <v>42389</v>
      </c>
      <c r="J717" s="5">
        <v>5476</v>
      </c>
      <c r="K717" s="15">
        <v>651.21</v>
      </c>
      <c r="L717" s="15">
        <v>524.96</v>
      </c>
      <c r="M717" s="15">
        <v>3566025.9600000004</v>
      </c>
      <c r="N717" s="15">
        <v>2874680.9600000004</v>
      </c>
      <c r="O717" s="16">
        <v>691345</v>
      </c>
    </row>
    <row r="718" spans="2:15" ht="18.75" hidden="1" x14ac:dyDescent="0.25">
      <c r="B718" s="4" t="s">
        <v>74</v>
      </c>
      <c r="C718" s="5" t="s">
        <v>99</v>
      </c>
      <c r="D718" s="5" t="s">
        <v>53</v>
      </c>
      <c r="E718" s="5" t="s">
        <v>132</v>
      </c>
      <c r="F718" s="5" t="s">
        <v>63</v>
      </c>
      <c r="G718" s="14">
        <v>44068</v>
      </c>
      <c r="H718" s="5">
        <v>100659072</v>
      </c>
      <c r="I718" s="14">
        <v>44095</v>
      </c>
      <c r="J718" s="5">
        <v>6111</v>
      </c>
      <c r="K718" s="15">
        <v>9.33</v>
      </c>
      <c r="L718" s="15">
        <v>6.92</v>
      </c>
      <c r="M718" s="15">
        <v>57015.63</v>
      </c>
      <c r="N718" s="15">
        <v>42288.12</v>
      </c>
      <c r="O718" s="16">
        <v>14727.509999999995</v>
      </c>
    </row>
    <row r="719" spans="2:15" ht="18.75" hidden="1" x14ac:dyDescent="0.25">
      <c r="B719" s="4" t="s">
        <v>72</v>
      </c>
      <c r="C719" s="5" t="s">
        <v>101</v>
      </c>
      <c r="D719" s="5" t="s">
        <v>80</v>
      </c>
      <c r="E719" s="5" t="s">
        <v>132</v>
      </c>
      <c r="F719" s="5" t="s">
        <v>55</v>
      </c>
      <c r="G719" s="14">
        <v>41246</v>
      </c>
      <c r="H719" s="5">
        <v>100659501</v>
      </c>
      <c r="I719" s="14">
        <v>41268</v>
      </c>
      <c r="J719" s="5">
        <v>6238</v>
      </c>
      <c r="K719" s="15">
        <v>668.27</v>
      </c>
      <c r="L719" s="15">
        <v>502.54</v>
      </c>
      <c r="M719" s="15">
        <v>4168668.26</v>
      </c>
      <c r="N719" s="15">
        <v>3134844.52</v>
      </c>
      <c r="O719" s="16">
        <v>1033823.7399999998</v>
      </c>
    </row>
    <row r="720" spans="2:15" ht="18.75" hidden="1" x14ac:dyDescent="0.25">
      <c r="B720" s="4" t="s">
        <v>56</v>
      </c>
      <c r="C720" s="5" t="s">
        <v>235</v>
      </c>
      <c r="D720" s="5" t="s">
        <v>58</v>
      </c>
      <c r="E720" s="5" t="s">
        <v>132</v>
      </c>
      <c r="F720" s="5" t="s">
        <v>55</v>
      </c>
      <c r="G720" s="14">
        <v>42384</v>
      </c>
      <c r="H720" s="5">
        <v>100659930</v>
      </c>
      <c r="I720" s="14">
        <v>42402</v>
      </c>
      <c r="J720" s="5">
        <v>6365</v>
      </c>
      <c r="K720" s="15">
        <v>255.28</v>
      </c>
      <c r="L720" s="15">
        <v>159.41999999999999</v>
      </c>
      <c r="M720" s="15">
        <v>1624857.2</v>
      </c>
      <c r="N720" s="15">
        <v>1014708.2999999999</v>
      </c>
      <c r="O720" s="16">
        <v>610148.9</v>
      </c>
    </row>
    <row r="721" spans="2:15" ht="18.75" hidden="1" x14ac:dyDescent="0.25">
      <c r="B721" s="4" t="s">
        <v>51</v>
      </c>
      <c r="C721" s="5" t="s">
        <v>151</v>
      </c>
      <c r="D721" s="5" t="s">
        <v>65</v>
      </c>
      <c r="E721" s="5" t="s">
        <v>132</v>
      </c>
      <c r="F721" s="5" t="s">
        <v>70</v>
      </c>
      <c r="G721" s="14">
        <v>43521</v>
      </c>
      <c r="H721" s="5">
        <v>100660359</v>
      </c>
      <c r="I721" s="14">
        <v>43535</v>
      </c>
      <c r="J721" s="5">
        <v>6492</v>
      </c>
      <c r="K721" s="15">
        <v>651.21</v>
      </c>
      <c r="L721" s="15">
        <v>524.96</v>
      </c>
      <c r="M721" s="15">
        <v>4227655.32</v>
      </c>
      <c r="N721" s="15">
        <v>3408040.3200000003</v>
      </c>
      <c r="O721" s="16">
        <v>819615</v>
      </c>
    </row>
    <row r="722" spans="2:15" ht="18.75" hidden="1" x14ac:dyDescent="0.25">
      <c r="B722" s="4" t="s">
        <v>81</v>
      </c>
      <c r="C722" s="5" t="s">
        <v>102</v>
      </c>
      <c r="D722" s="5" t="s">
        <v>68</v>
      </c>
      <c r="E722" s="5" t="s">
        <v>54</v>
      </c>
      <c r="F722" s="5" t="s">
        <v>70</v>
      </c>
      <c r="G722" s="14">
        <v>40699</v>
      </c>
      <c r="H722" s="5">
        <v>100660789</v>
      </c>
      <c r="I722" s="14">
        <v>40708</v>
      </c>
      <c r="J722" s="5">
        <v>6619</v>
      </c>
      <c r="K722" s="15">
        <v>109.28</v>
      </c>
      <c r="L722" s="15">
        <v>35.840000000000003</v>
      </c>
      <c r="M722" s="15">
        <v>723324.32000000007</v>
      </c>
      <c r="N722" s="15">
        <v>237224.96000000002</v>
      </c>
      <c r="O722" s="16">
        <v>486099.36000000004</v>
      </c>
    </row>
    <row r="723" spans="2:15" ht="18.75" hidden="1" x14ac:dyDescent="0.25">
      <c r="B723" s="4" t="s">
        <v>60</v>
      </c>
      <c r="C723" s="5" t="s">
        <v>193</v>
      </c>
      <c r="D723" s="5" t="s">
        <v>62</v>
      </c>
      <c r="E723" s="5" t="s">
        <v>54</v>
      </c>
      <c r="F723" s="5" t="s">
        <v>59</v>
      </c>
      <c r="G723" s="14">
        <v>41837</v>
      </c>
      <c r="H723" s="5">
        <v>100661218</v>
      </c>
      <c r="I723" s="14">
        <v>41842</v>
      </c>
      <c r="J723" s="5">
        <v>6746</v>
      </c>
      <c r="K723" s="15">
        <v>437.2</v>
      </c>
      <c r="L723" s="15">
        <v>263.33</v>
      </c>
      <c r="M723" s="15">
        <v>2949351.1999999997</v>
      </c>
      <c r="N723" s="15">
        <v>1776424.18</v>
      </c>
      <c r="O723" s="16">
        <v>1172927.0199999998</v>
      </c>
    </row>
    <row r="724" spans="2:15" ht="18.75" hidden="1" x14ac:dyDescent="0.25">
      <c r="B724" s="4" t="s">
        <v>81</v>
      </c>
      <c r="C724" s="5" t="s">
        <v>210</v>
      </c>
      <c r="D724" s="5" t="s">
        <v>78</v>
      </c>
      <c r="E724" s="5" t="s">
        <v>54</v>
      </c>
      <c r="F724" s="5" t="s">
        <v>63</v>
      </c>
      <c r="G724" s="14">
        <v>44111</v>
      </c>
      <c r="H724" s="5">
        <v>100662076</v>
      </c>
      <c r="I724" s="14">
        <v>44158</v>
      </c>
      <c r="J724" s="5">
        <v>7000</v>
      </c>
      <c r="K724" s="15">
        <v>47.45</v>
      </c>
      <c r="L724" s="15">
        <v>31.79</v>
      </c>
      <c r="M724" s="15">
        <v>332150</v>
      </c>
      <c r="N724" s="15">
        <v>222530</v>
      </c>
      <c r="O724" s="16">
        <v>109620</v>
      </c>
    </row>
    <row r="725" spans="2:15" ht="18.75" hidden="1" x14ac:dyDescent="0.25">
      <c r="B725" s="4" t="s">
        <v>51</v>
      </c>
      <c r="C725" s="5" t="s">
        <v>195</v>
      </c>
      <c r="D725" s="5" t="s">
        <v>80</v>
      </c>
      <c r="E725" s="5" t="s">
        <v>54</v>
      </c>
      <c r="F725" s="5" t="s">
        <v>55</v>
      </c>
      <c r="G725" s="14">
        <v>42427</v>
      </c>
      <c r="H725" s="5">
        <v>100662934</v>
      </c>
      <c r="I725" s="14">
        <v>42465</v>
      </c>
      <c r="J725" s="5">
        <v>7254</v>
      </c>
      <c r="K725" s="15">
        <v>668.27</v>
      </c>
      <c r="L725" s="15">
        <v>502.54</v>
      </c>
      <c r="M725" s="15">
        <v>4847630.58</v>
      </c>
      <c r="N725" s="15">
        <v>3645425.16</v>
      </c>
      <c r="O725" s="16">
        <v>1202205.42</v>
      </c>
    </row>
    <row r="726" spans="2:15" ht="18.75" hidden="1" x14ac:dyDescent="0.25">
      <c r="B726" s="4" t="s">
        <v>74</v>
      </c>
      <c r="C726" s="5" t="s">
        <v>155</v>
      </c>
      <c r="D726" s="5" t="s">
        <v>65</v>
      </c>
      <c r="E726" s="5" t="s">
        <v>54</v>
      </c>
      <c r="F726" s="5" t="s">
        <v>70</v>
      </c>
      <c r="G726" s="14">
        <v>40743</v>
      </c>
      <c r="H726" s="5">
        <v>100663793</v>
      </c>
      <c r="I726" s="14">
        <v>40773</v>
      </c>
      <c r="J726" s="5">
        <v>7508</v>
      </c>
      <c r="K726" s="15">
        <v>651.21</v>
      </c>
      <c r="L726" s="15">
        <v>524.96</v>
      </c>
      <c r="M726" s="15">
        <v>4889284.6800000006</v>
      </c>
      <c r="N726" s="15">
        <v>3941399.68</v>
      </c>
      <c r="O726" s="16">
        <v>947885.00000000047</v>
      </c>
    </row>
    <row r="727" spans="2:15" ht="18.75" hidden="1" x14ac:dyDescent="0.25">
      <c r="B727" s="4" t="s">
        <v>72</v>
      </c>
      <c r="C727" s="5" t="s">
        <v>258</v>
      </c>
      <c r="D727" s="5" t="s">
        <v>68</v>
      </c>
      <c r="E727" s="5" t="s">
        <v>54</v>
      </c>
      <c r="F727" s="5" t="s">
        <v>59</v>
      </c>
      <c r="G727" s="14">
        <v>41880</v>
      </c>
      <c r="H727" s="5">
        <v>100664222</v>
      </c>
      <c r="I727" s="14">
        <v>41905</v>
      </c>
      <c r="J727" s="5">
        <v>7635</v>
      </c>
      <c r="K727" s="15">
        <v>109.28</v>
      </c>
      <c r="L727" s="15">
        <v>35.840000000000003</v>
      </c>
      <c r="M727" s="15">
        <v>834352.8</v>
      </c>
      <c r="N727" s="15">
        <v>273638.40000000002</v>
      </c>
      <c r="O727" s="16">
        <v>560714.4</v>
      </c>
    </row>
    <row r="728" spans="2:15" ht="18.75" hidden="1" x14ac:dyDescent="0.25">
      <c r="B728" s="4" t="s">
        <v>51</v>
      </c>
      <c r="C728" s="5" t="s">
        <v>107</v>
      </c>
      <c r="D728" s="5" t="s">
        <v>80</v>
      </c>
      <c r="E728" s="5" t="s">
        <v>54</v>
      </c>
      <c r="F728" s="5" t="s">
        <v>70</v>
      </c>
      <c r="G728" s="14">
        <v>43607</v>
      </c>
      <c r="H728" s="5">
        <v>100666368</v>
      </c>
      <c r="I728" s="14">
        <v>43611</v>
      </c>
      <c r="J728" s="5">
        <v>8270</v>
      </c>
      <c r="K728" s="15">
        <v>668.27</v>
      </c>
      <c r="L728" s="15">
        <v>502.54</v>
      </c>
      <c r="M728" s="15">
        <v>5526592.8999999994</v>
      </c>
      <c r="N728" s="15">
        <v>4156005.8000000003</v>
      </c>
      <c r="O728" s="16">
        <v>1370587.0999999992</v>
      </c>
    </row>
    <row r="729" spans="2:15" ht="18.75" hidden="1" x14ac:dyDescent="0.25">
      <c r="B729" s="4" t="s">
        <v>81</v>
      </c>
      <c r="C729" s="5" t="s">
        <v>157</v>
      </c>
      <c r="D729" s="5" t="s">
        <v>58</v>
      </c>
      <c r="E729" s="5" t="s">
        <v>54</v>
      </c>
      <c r="F729" s="5" t="s">
        <v>70</v>
      </c>
      <c r="G729" s="14">
        <v>40786</v>
      </c>
      <c r="H729" s="5">
        <v>100666797</v>
      </c>
      <c r="I729" s="14">
        <v>40836</v>
      </c>
      <c r="J729" s="5">
        <v>8397</v>
      </c>
      <c r="K729" s="15">
        <v>255.28</v>
      </c>
      <c r="L729" s="15">
        <v>159.41999999999999</v>
      </c>
      <c r="M729" s="15">
        <v>2143586.16</v>
      </c>
      <c r="N729" s="15">
        <v>1338649.74</v>
      </c>
      <c r="O729" s="16">
        <v>804936.42000000016</v>
      </c>
    </row>
    <row r="730" spans="2:15" ht="18.75" hidden="1" x14ac:dyDescent="0.25">
      <c r="B730" s="4" t="s">
        <v>60</v>
      </c>
      <c r="C730" s="5" t="s">
        <v>213</v>
      </c>
      <c r="D730" s="5" t="s">
        <v>65</v>
      </c>
      <c r="E730" s="5" t="s">
        <v>54</v>
      </c>
      <c r="F730" s="5" t="s">
        <v>59</v>
      </c>
      <c r="G730" s="14">
        <v>41923</v>
      </c>
      <c r="H730" s="5">
        <v>100667226</v>
      </c>
      <c r="I730" s="14">
        <v>41969</v>
      </c>
      <c r="J730" s="5">
        <v>8524</v>
      </c>
      <c r="K730" s="15">
        <v>651.21</v>
      </c>
      <c r="L730" s="15">
        <v>524.96</v>
      </c>
      <c r="M730" s="15">
        <v>5550914.04</v>
      </c>
      <c r="N730" s="15">
        <v>4474759.04</v>
      </c>
      <c r="O730" s="16">
        <v>1076155</v>
      </c>
    </row>
    <row r="731" spans="2:15" ht="18.75" hidden="1" x14ac:dyDescent="0.25">
      <c r="B731" s="4" t="s">
        <v>72</v>
      </c>
      <c r="C731" s="5" t="s">
        <v>214</v>
      </c>
      <c r="D731" s="5" t="s">
        <v>78</v>
      </c>
      <c r="E731" s="5" t="s">
        <v>54</v>
      </c>
      <c r="F731" s="5" t="s">
        <v>55</v>
      </c>
      <c r="G731" s="14">
        <v>42513</v>
      </c>
      <c r="H731" s="5">
        <v>100668942</v>
      </c>
      <c r="I731" s="14">
        <v>42541</v>
      </c>
      <c r="J731" s="5">
        <v>9032</v>
      </c>
      <c r="K731" s="15">
        <v>47.45</v>
      </c>
      <c r="L731" s="15">
        <v>31.79</v>
      </c>
      <c r="M731" s="15">
        <v>428568.4</v>
      </c>
      <c r="N731" s="15">
        <v>287127.27999999997</v>
      </c>
      <c r="O731" s="16">
        <v>141441.12000000005</v>
      </c>
    </row>
    <row r="732" spans="2:15" ht="18.75" hidden="1" x14ac:dyDescent="0.25">
      <c r="B732" s="4" t="s">
        <v>81</v>
      </c>
      <c r="C732" s="5" t="s">
        <v>158</v>
      </c>
      <c r="D732" s="5" t="s">
        <v>53</v>
      </c>
      <c r="E732" s="5" t="s">
        <v>54</v>
      </c>
      <c r="F732" s="5" t="s">
        <v>55</v>
      </c>
      <c r="G732" s="14">
        <v>43651</v>
      </c>
      <c r="H732" s="5">
        <v>100669372</v>
      </c>
      <c r="I732" s="14">
        <v>43675</v>
      </c>
      <c r="J732" s="5">
        <v>9159</v>
      </c>
      <c r="K732" s="15">
        <v>9.33</v>
      </c>
      <c r="L732" s="15">
        <v>6.92</v>
      </c>
      <c r="M732" s="15">
        <v>85453.47</v>
      </c>
      <c r="N732" s="15">
        <v>63380.28</v>
      </c>
      <c r="O732" s="16">
        <v>22073.190000000002</v>
      </c>
    </row>
    <row r="733" spans="2:15" ht="18.75" hidden="1" x14ac:dyDescent="0.25">
      <c r="B733" s="4" t="s">
        <v>51</v>
      </c>
      <c r="C733" s="5" t="s">
        <v>111</v>
      </c>
      <c r="D733" s="5" t="s">
        <v>80</v>
      </c>
      <c r="E733" s="5" t="s">
        <v>54</v>
      </c>
      <c r="F733" s="5" t="s">
        <v>70</v>
      </c>
      <c r="G733" s="14">
        <v>40829</v>
      </c>
      <c r="H733" s="5">
        <v>100669801</v>
      </c>
      <c r="I733" s="14">
        <v>40849</v>
      </c>
      <c r="J733" s="5">
        <v>9286</v>
      </c>
      <c r="K733" s="15">
        <v>668.27</v>
      </c>
      <c r="L733" s="15">
        <v>502.54</v>
      </c>
      <c r="M733" s="15">
        <v>6205555.2199999997</v>
      </c>
      <c r="N733" s="15">
        <v>4666586.4400000004</v>
      </c>
      <c r="O733" s="16">
        <v>1538968.7799999993</v>
      </c>
    </row>
    <row r="734" spans="2:15" ht="18.75" hidden="1" x14ac:dyDescent="0.25">
      <c r="B734" s="4" t="s">
        <v>72</v>
      </c>
      <c r="C734" s="5" t="s">
        <v>198</v>
      </c>
      <c r="D734" s="5" t="s">
        <v>58</v>
      </c>
      <c r="E734" s="5" t="s">
        <v>54</v>
      </c>
      <c r="F734" s="5" t="s">
        <v>70</v>
      </c>
      <c r="G734" s="14">
        <v>41966</v>
      </c>
      <c r="H734" s="5">
        <v>100670230</v>
      </c>
      <c r="I734" s="14">
        <v>41981</v>
      </c>
      <c r="J734" s="5">
        <v>9413</v>
      </c>
      <c r="K734" s="15">
        <v>255.28</v>
      </c>
      <c r="L734" s="15">
        <v>159.41999999999999</v>
      </c>
      <c r="M734" s="15">
        <v>2402950.64</v>
      </c>
      <c r="N734" s="15">
        <v>1500620.46</v>
      </c>
      <c r="O734" s="16">
        <v>902330.18000000017</v>
      </c>
    </row>
    <row r="735" spans="2:15" ht="18.75" hidden="1" x14ac:dyDescent="0.25">
      <c r="B735" s="4" t="s">
        <v>56</v>
      </c>
      <c r="C735" s="5" t="s">
        <v>159</v>
      </c>
      <c r="D735" s="5" t="s">
        <v>65</v>
      </c>
      <c r="E735" s="5" t="s">
        <v>54</v>
      </c>
      <c r="F735" s="5" t="s">
        <v>59</v>
      </c>
      <c r="G735" s="14">
        <v>43103</v>
      </c>
      <c r="H735" s="5">
        <v>100670659</v>
      </c>
      <c r="I735" s="14">
        <v>43114</v>
      </c>
      <c r="J735" s="5">
        <v>9540</v>
      </c>
      <c r="K735" s="15">
        <v>651.21</v>
      </c>
      <c r="L735" s="15">
        <v>524.96</v>
      </c>
      <c r="M735" s="15">
        <v>6212543.4000000004</v>
      </c>
      <c r="N735" s="15">
        <v>5008118.4000000004</v>
      </c>
      <c r="O735" s="16">
        <v>1204425</v>
      </c>
    </row>
    <row r="736" spans="2:15" ht="18.75" hidden="1" x14ac:dyDescent="0.25">
      <c r="B736" s="4" t="s">
        <v>81</v>
      </c>
      <c r="C736" s="5" t="s">
        <v>199</v>
      </c>
      <c r="D736" s="5" t="s">
        <v>62</v>
      </c>
      <c r="E736" s="5" t="s">
        <v>54</v>
      </c>
      <c r="F736" s="5" t="s">
        <v>63</v>
      </c>
      <c r="G736" s="14">
        <v>41419</v>
      </c>
      <c r="H736" s="5">
        <v>100671517</v>
      </c>
      <c r="I736" s="14">
        <v>41421</v>
      </c>
      <c r="J736" s="5">
        <v>9794</v>
      </c>
      <c r="K736" s="15">
        <v>437.2</v>
      </c>
      <c r="L736" s="15">
        <v>263.33</v>
      </c>
      <c r="M736" s="15">
        <v>4281936.8</v>
      </c>
      <c r="N736" s="15">
        <v>2579054.02</v>
      </c>
      <c r="O736" s="16">
        <v>1702882.7799999998</v>
      </c>
    </row>
    <row r="737" spans="2:15" ht="18.75" hidden="1" x14ac:dyDescent="0.25">
      <c r="B737" s="4" t="s">
        <v>51</v>
      </c>
      <c r="C737" s="5" t="s">
        <v>161</v>
      </c>
      <c r="D737" s="5" t="s">
        <v>78</v>
      </c>
      <c r="E737" s="5" t="s">
        <v>54</v>
      </c>
      <c r="F737" s="5" t="s">
        <v>55</v>
      </c>
      <c r="G737" s="14">
        <v>43694</v>
      </c>
      <c r="H737" s="5">
        <v>100672376</v>
      </c>
      <c r="I737" s="14">
        <v>43739</v>
      </c>
      <c r="J737" s="5">
        <v>48</v>
      </c>
      <c r="K737" s="15">
        <v>47.45</v>
      </c>
      <c r="L737" s="15">
        <v>31.79</v>
      </c>
      <c r="M737" s="15">
        <v>2277.6000000000004</v>
      </c>
      <c r="N737" s="15">
        <v>1525.92</v>
      </c>
      <c r="O737" s="16">
        <v>751.68000000000029</v>
      </c>
    </row>
    <row r="738" spans="2:15" ht="18.75" hidden="1" x14ac:dyDescent="0.25">
      <c r="B738" s="4" t="s">
        <v>81</v>
      </c>
      <c r="C738" s="5" t="s">
        <v>216</v>
      </c>
      <c r="D738" s="5" t="s">
        <v>53</v>
      </c>
      <c r="E738" s="5" t="s">
        <v>54</v>
      </c>
      <c r="F738" s="5" t="s">
        <v>70</v>
      </c>
      <c r="G738" s="14">
        <v>40872</v>
      </c>
      <c r="H738" s="5">
        <v>100672805</v>
      </c>
      <c r="I738" s="14">
        <v>40912</v>
      </c>
      <c r="J738" s="5">
        <v>175</v>
      </c>
      <c r="K738" s="15">
        <v>9.33</v>
      </c>
      <c r="L738" s="15">
        <v>6.92</v>
      </c>
      <c r="M738" s="15">
        <v>1632.75</v>
      </c>
      <c r="N738" s="15">
        <v>1211</v>
      </c>
      <c r="O738" s="16">
        <v>421.75</v>
      </c>
    </row>
    <row r="739" spans="2:15" ht="18.75" hidden="1" x14ac:dyDescent="0.25">
      <c r="B739" s="4" t="s">
        <v>60</v>
      </c>
      <c r="C739" s="5" t="s">
        <v>201</v>
      </c>
      <c r="D739" s="5" t="s">
        <v>80</v>
      </c>
      <c r="E739" s="5" t="s">
        <v>54</v>
      </c>
      <c r="F739" s="5" t="s">
        <v>70</v>
      </c>
      <c r="G739" s="14">
        <v>42009</v>
      </c>
      <c r="H739" s="5">
        <v>100673234</v>
      </c>
      <c r="I739" s="14">
        <v>42045</v>
      </c>
      <c r="J739" s="5">
        <v>302</v>
      </c>
      <c r="K739" s="15">
        <v>668.27</v>
      </c>
      <c r="L739" s="15">
        <v>502.54</v>
      </c>
      <c r="M739" s="15">
        <v>201817.54</v>
      </c>
      <c r="N739" s="15">
        <v>151767.08000000002</v>
      </c>
      <c r="O739" s="16">
        <v>50050.459999999992</v>
      </c>
    </row>
    <row r="740" spans="2:15" ht="18.75" hidden="1" x14ac:dyDescent="0.25">
      <c r="B740" s="4" t="s">
        <v>51</v>
      </c>
      <c r="C740" s="5" t="s">
        <v>116</v>
      </c>
      <c r="D740" s="5" t="s">
        <v>58</v>
      </c>
      <c r="E740" s="5" t="s">
        <v>54</v>
      </c>
      <c r="F740" s="5" t="s">
        <v>59</v>
      </c>
      <c r="G740" s="14">
        <v>43147</v>
      </c>
      <c r="H740" s="5">
        <v>100673663</v>
      </c>
      <c r="I740" s="14">
        <v>43179</v>
      </c>
      <c r="J740" s="5">
        <v>429</v>
      </c>
      <c r="K740" s="15">
        <v>255.28</v>
      </c>
      <c r="L740" s="15">
        <v>159.41999999999999</v>
      </c>
      <c r="M740" s="15">
        <v>109515.12</v>
      </c>
      <c r="N740" s="15">
        <v>68391.179999999993</v>
      </c>
      <c r="O740" s="16">
        <v>41123.94</v>
      </c>
    </row>
    <row r="741" spans="2:15" ht="18.75" hidden="1" x14ac:dyDescent="0.25">
      <c r="B741" s="4" t="s">
        <v>81</v>
      </c>
      <c r="C741" s="5" t="s">
        <v>117</v>
      </c>
      <c r="D741" s="5" t="s">
        <v>65</v>
      </c>
      <c r="E741" s="5" t="s">
        <v>54</v>
      </c>
      <c r="F741" s="5" t="s">
        <v>59</v>
      </c>
      <c r="G741" s="14">
        <v>40325</v>
      </c>
      <c r="H741" s="5">
        <v>100674092</v>
      </c>
      <c r="I741" s="14">
        <v>40352</v>
      </c>
      <c r="J741" s="5">
        <v>556</v>
      </c>
      <c r="K741" s="15">
        <v>651.21</v>
      </c>
      <c r="L741" s="15">
        <v>524.96</v>
      </c>
      <c r="M741" s="15">
        <v>362072.76</v>
      </c>
      <c r="N741" s="15">
        <v>291877.76000000001</v>
      </c>
      <c r="O741" s="16">
        <v>70195</v>
      </c>
    </row>
    <row r="742" spans="2:15" ht="18.75" hidden="1" x14ac:dyDescent="0.25">
      <c r="B742" s="4" t="s">
        <v>56</v>
      </c>
      <c r="C742" s="5" t="s">
        <v>218</v>
      </c>
      <c r="D742" s="5" t="s">
        <v>76</v>
      </c>
      <c r="E742" s="5" t="s">
        <v>54</v>
      </c>
      <c r="F742" s="5" t="s">
        <v>55</v>
      </c>
      <c r="G742" s="14">
        <v>43737</v>
      </c>
      <c r="H742" s="5">
        <v>100675380</v>
      </c>
      <c r="I742" s="14">
        <v>43751</v>
      </c>
      <c r="J742" s="5">
        <v>937</v>
      </c>
      <c r="K742" s="15">
        <v>421.89</v>
      </c>
      <c r="L742" s="15">
        <v>364.69</v>
      </c>
      <c r="M742" s="15">
        <v>395310.93</v>
      </c>
      <c r="N742" s="15">
        <v>341714.52999999997</v>
      </c>
      <c r="O742" s="16">
        <v>53596.400000000023</v>
      </c>
    </row>
    <row r="743" spans="2:15" ht="18.75" hidden="1" x14ac:dyDescent="0.25">
      <c r="B743" s="4" t="s">
        <v>51</v>
      </c>
      <c r="C743" s="5" t="s">
        <v>251</v>
      </c>
      <c r="D743" s="5" t="s">
        <v>78</v>
      </c>
      <c r="E743" s="5" t="s">
        <v>54</v>
      </c>
      <c r="F743" s="5" t="s">
        <v>55</v>
      </c>
      <c r="G743" s="14">
        <v>40915</v>
      </c>
      <c r="H743" s="5">
        <v>100675809</v>
      </c>
      <c r="I743" s="14">
        <v>40925</v>
      </c>
      <c r="J743" s="5">
        <v>1064</v>
      </c>
      <c r="K743" s="15">
        <v>47.45</v>
      </c>
      <c r="L743" s="15">
        <v>31.79</v>
      </c>
      <c r="M743" s="15">
        <v>50486.8</v>
      </c>
      <c r="N743" s="15">
        <v>33824.559999999998</v>
      </c>
      <c r="O743" s="16">
        <v>16662.240000000005</v>
      </c>
    </row>
    <row r="744" spans="2:15" ht="18.75" hidden="1" x14ac:dyDescent="0.25">
      <c r="B744" s="4" t="s">
        <v>51</v>
      </c>
      <c r="C744" s="5" t="s">
        <v>230</v>
      </c>
      <c r="D744" s="5" t="s">
        <v>100</v>
      </c>
      <c r="E744" s="5" t="s">
        <v>54</v>
      </c>
      <c r="F744" s="5" t="s">
        <v>59</v>
      </c>
      <c r="G744" s="14">
        <v>40368</v>
      </c>
      <c r="H744" s="5">
        <v>100677096</v>
      </c>
      <c r="I744" s="14">
        <v>40416</v>
      </c>
      <c r="J744" s="5">
        <v>1445</v>
      </c>
      <c r="K744" s="15">
        <v>205.7</v>
      </c>
      <c r="L744" s="15">
        <v>117.11</v>
      </c>
      <c r="M744" s="15">
        <v>297236.5</v>
      </c>
      <c r="N744" s="15">
        <v>169223.95</v>
      </c>
      <c r="O744" s="16">
        <v>128012.54999999999</v>
      </c>
    </row>
    <row r="745" spans="2:15" ht="18.75" hidden="1" x14ac:dyDescent="0.25">
      <c r="B745" s="4" t="s">
        <v>60</v>
      </c>
      <c r="C745" s="5" t="s">
        <v>252</v>
      </c>
      <c r="D745" s="5" t="s">
        <v>88</v>
      </c>
      <c r="E745" s="5" t="s">
        <v>54</v>
      </c>
      <c r="F745" s="5" t="s">
        <v>63</v>
      </c>
      <c r="G745" s="14">
        <v>42643</v>
      </c>
      <c r="H745" s="5">
        <v>100677955</v>
      </c>
      <c r="I745" s="14">
        <v>42682</v>
      </c>
      <c r="J745" s="5">
        <v>1699</v>
      </c>
      <c r="K745" s="15">
        <v>152.58000000000001</v>
      </c>
      <c r="L745" s="15">
        <v>97.44</v>
      </c>
      <c r="M745" s="15">
        <v>259233.42</v>
      </c>
      <c r="N745" s="15">
        <v>165550.56</v>
      </c>
      <c r="O745" s="16">
        <v>93682.860000000015</v>
      </c>
    </row>
    <row r="746" spans="2:15" ht="18.75" hidden="1" x14ac:dyDescent="0.25">
      <c r="B746" s="4" t="s">
        <v>51</v>
      </c>
      <c r="C746" s="5" t="s">
        <v>122</v>
      </c>
      <c r="D746" s="5" t="s">
        <v>62</v>
      </c>
      <c r="E746" s="5" t="s">
        <v>54</v>
      </c>
      <c r="F746" s="5" t="s">
        <v>55</v>
      </c>
      <c r="G746" s="14">
        <v>43780</v>
      </c>
      <c r="H746" s="5">
        <v>100678384</v>
      </c>
      <c r="I746" s="14">
        <v>43815</v>
      </c>
      <c r="J746" s="5">
        <v>1826</v>
      </c>
      <c r="K746" s="15">
        <v>437.2</v>
      </c>
      <c r="L746" s="15">
        <v>263.33</v>
      </c>
      <c r="M746" s="15">
        <v>798327.2</v>
      </c>
      <c r="N746" s="15">
        <v>480840.57999999996</v>
      </c>
      <c r="O746" s="16">
        <v>317486.62</v>
      </c>
    </row>
    <row r="747" spans="2:15" ht="18.75" hidden="1" x14ac:dyDescent="0.25">
      <c r="B747" s="4" t="s">
        <v>74</v>
      </c>
      <c r="C747" s="5" t="s">
        <v>123</v>
      </c>
      <c r="D747" s="5" t="s">
        <v>78</v>
      </c>
      <c r="E747" s="5" t="s">
        <v>54</v>
      </c>
      <c r="F747" s="5" t="s">
        <v>70</v>
      </c>
      <c r="G747" s="14">
        <v>42096</v>
      </c>
      <c r="H747" s="5">
        <v>100679242</v>
      </c>
      <c r="I747" s="14">
        <v>42122</v>
      </c>
      <c r="J747" s="5">
        <v>2080</v>
      </c>
      <c r="K747" s="15">
        <v>47.45</v>
      </c>
      <c r="L747" s="15">
        <v>31.79</v>
      </c>
      <c r="M747" s="15">
        <v>98696</v>
      </c>
      <c r="N747" s="15">
        <v>66123.199999999997</v>
      </c>
      <c r="O747" s="16">
        <v>32572.800000000003</v>
      </c>
    </row>
    <row r="748" spans="2:15" ht="18.75" hidden="1" x14ac:dyDescent="0.25">
      <c r="B748" s="4" t="s">
        <v>66</v>
      </c>
      <c r="C748" s="5" t="s">
        <v>167</v>
      </c>
      <c r="D748" s="5" t="s">
        <v>65</v>
      </c>
      <c r="E748" s="5" t="s">
        <v>54</v>
      </c>
      <c r="F748" s="5" t="s">
        <v>63</v>
      </c>
      <c r="G748" s="14">
        <v>42686</v>
      </c>
      <c r="H748" s="5">
        <v>100680959</v>
      </c>
      <c r="I748" s="14">
        <v>42694</v>
      </c>
      <c r="J748" s="5">
        <v>2588</v>
      </c>
      <c r="K748" s="15">
        <v>651.21</v>
      </c>
      <c r="L748" s="15">
        <v>524.96</v>
      </c>
      <c r="M748" s="15">
        <v>1685331.48</v>
      </c>
      <c r="N748" s="15">
        <v>1358596.48</v>
      </c>
      <c r="O748" s="16">
        <v>326735</v>
      </c>
    </row>
    <row r="749" spans="2:15" ht="18.75" hidden="1" x14ac:dyDescent="0.25">
      <c r="B749" s="4" t="s">
        <v>51</v>
      </c>
      <c r="C749" s="5" t="s">
        <v>168</v>
      </c>
      <c r="D749" s="5" t="s">
        <v>62</v>
      </c>
      <c r="E749" s="5" t="s">
        <v>54</v>
      </c>
      <c r="F749" s="5" t="s">
        <v>55</v>
      </c>
      <c r="G749" s="14">
        <v>41002</v>
      </c>
      <c r="H749" s="5">
        <v>100681817</v>
      </c>
      <c r="I749" s="14">
        <v>41002</v>
      </c>
      <c r="J749" s="5">
        <v>2842</v>
      </c>
      <c r="K749" s="15">
        <v>437.2</v>
      </c>
      <c r="L749" s="15">
        <v>263.33</v>
      </c>
      <c r="M749" s="15">
        <v>1242522.3999999999</v>
      </c>
      <c r="N749" s="15">
        <v>748383.86</v>
      </c>
      <c r="O749" s="16">
        <v>494138.53999999992</v>
      </c>
    </row>
    <row r="750" spans="2:15" ht="18.75" hidden="1" x14ac:dyDescent="0.25">
      <c r="B750" s="4" t="s">
        <v>51</v>
      </c>
      <c r="C750" s="5" t="s">
        <v>170</v>
      </c>
      <c r="D750" s="5" t="s">
        <v>96</v>
      </c>
      <c r="E750" s="5" t="s">
        <v>54</v>
      </c>
      <c r="F750" s="5" t="s">
        <v>59</v>
      </c>
      <c r="G750" s="14">
        <v>40454</v>
      </c>
      <c r="H750" s="5">
        <v>100683104</v>
      </c>
      <c r="I750" s="14">
        <v>40492</v>
      </c>
      <c r="J750" s="5">
        <v>3223</v>
      </c>
      <c r="K750" s="15">
        <v>154.06</v>
      </c>
      <c r="L750" s="15">
        <v>90.93</v>
      </c>
      <c r="M750" s="15">
        <v>496535.38</v>
      </c>
      <c r="N750" s="15">
        <v>293067.39</v>
      </c>
      <c r="O750" s="16">
        <v>203467.99</v>
      </c>
    </row>
    <row r="751" spans="2:15" ht="18.75" hidden="1" x14ac:dyDescent="0.25">
      <c r="B751" s="4" t="s">
        <v>81</v>
      </c>
      <c r="C751" s="5" t="s">
        <v>171</v>
      </c>
      <c r="D751" s="5" t="s">
        <v>80</v>
      </c>
      <c r="E751" s="5" t="s">
        <v>54</v>
      </c>
      <c r="F751" s="5" t="s">
        <v>59</v>
      </c>
      <c r="G751" s="14">
        <v>41592</v>
      </c>
      <c r="H751" s="5">
        <v>100683534</v>
      </c>
      <c r="I751" s="14">
        <v>41625</v>
      </c>
      <c r="J751" s="5">
        <v>3350</v>
      </c>
      <c r="K751" s="15">
        <v>668.27</v>
      </c>
      <c r="L751" s="15">
        <v>502.54</v>
      </c>
      <c r="M751" s="15">
        <v>2238704.5</v>
      </c>
      <c r="N751" s="15">
        <v>1683509</v>
      </c>
      <c r="O751" s="16">
        <v>555195.5</v>
      </c>
    </row>
    <row r="752" spans="2:15" ht="18.75" hidden="1" x14ac:dyDescent="0.25">
      <c r="B752" s="4" t="s">
        <v>60</v>
      </c>
      <c r="C752" s="5" t="s">
        <v>130</v>
      </c>
      <c r="D752" s="5" t="s">
        <v>100</v>
      </c>
      <c r="E752" s="5" t="s">
        <v>54</v>
      </c>
      <c r="F752" s="5" t="s">
        <v>63</v>
      </c>
      <c r="G752" s="14">
        <v>42729</v>
      </c>
      <c r="H752" s="5">
        <v>100683963</v>
      </c>
      <c r="I752" s="14">
        <v>42758</v>
      </c>
      <c r="J752" s="5">
        <v>3477</v>
      </c>
      <c r="K752" s="15">
        <v>205.7</v>
      </c>
      <c r="L752" s="15">
        <v>117.11</v>
      </c>
      <c r="M752" s="15">
        <v>715218.89999999991</v>
      </c>
      <c r="N752" s="15">
        <v>407191.47</v>
      </c>
      <c r="O752" s="16">
        <v>308027.42999999993</v>
      </c>
    </row>
    <row r="753" spans="2:15" ht="18.75" x14ac:dyDescent="0.25">
      <c r="B753" s="4" t="s">
        <v>72</v>
      </c>
      <c r="C753" s="5" t="s">
        <v>131</v>
      </c>
      <c r="D753" s="5" t="s">
        <v>65</v>
      </c>
      <c r="E753" s="5" t="s">
        <v>54</v>
      </c>
      <c r="F753" s="5" t="s">
        <v>63</v>
      </c>
      <c r="G753" s="14">
        <v>43866</v>
      </c>
      <c r="H753" s="5">
        <v>100684392</v>
      </c>
      <c r="I753" s="14">
        <v>43891</v>
      </c>
      <c r="J753" s="5">
        <v>3604</v>
      </c>
      <c r="K753" s="15">
        <v>651.21</v>
      </c>
      <c r="L753" s="15">
        <v>524.96</v>
      </c>
      <c r="M753" s="15">
        <v>2346960.8400000003</v>
      </c>
      <c r="N753" s="15">
        <v>1891955.84</v>
      </c>
      <c r="O753" s="16">
        <v>455005.00000000023</v>
      </c>
    </row>
    <row r="754" spans="2:15" ht="18.75" hidden="1" x14ac:dyDescent="0.25">
      <c r="B754" s="4" t="s">
        <v>81</v>
      </c>
      <c r="C754" s="5" t="s">
        <v>133</v>
      </c>
      <c r="D754" s="5" t="s">
        <v>88</v>
      </c>
      <c r="E754" s="5" t="s">
        <v>54</v>
      </c>
      <c r="F754" s="5" t="s">
        <v>55</v>
      </c>
      <c r="G754" s="14">
        <v>41045</v>
      </c>
      <c r="H754" s="5">
        <v>100684821</v>
      </c>
      <c r="I754" s="14">
        <v>41065</v>
      </c>
      <c r="J754" s="5">
        <v>3731</v>
      </c>
      <c r="K754" s="15">
        <v>152.58000000000001</v>
      </c>
      <c r="L754" s="15">
        <v>97.44</v>
      </c>
      <c r="M754" s="15">
        <v>569275.9800000001</v>
      </c>
      <c r="N754" s="15">
        <v>363548.64</v>
      </c>
      <c r="O754" s="16">
        <v>205727.34000000008</v>
      </c>
    </row>
    <row r="755" spans="2:15" ht="18.75" hidden="1" x14ac:dyDescent="0.25">
      <c r="B755" s="4" t="s">
        <v>74</v>
      </c>
      <c r="C755" s="5" t="s">
        <v>220</v>
      </c>
      <c r="D755" s="5" t="s">
        <v>62</v>
      </c>
      <c r="E755" s="5" t="s">
        <v>54</v>
      </c>
      <c r="F755" s="5" t="s">
        <v>55</v>
      </c>
      <c r="G755" s="14">
        <v>42182</v>
      </c>
      <c r="H755" s="5">
        <v>100685250</v>
      </c>
      <c r="I755" s="14">
        <v>42198</v>
      </c>
      <c r="J755" s="5">
        <v>3858</v>
      </c>
      <c r="K755" s="15">
        <v>437.2</v>
      </c>
      <c r="L755" s="15">
        <v>263.33</v>
      </c>
      <c r="M755" s="15">
        <v>1686717.5999999999</v>
      </c>
      <c r="N755" s="15">
        <v>1015927.1399999999</v>
      </c>
      <c r="O755" s="16">
        <v>670790.46</v>
      </c>
    </row>
    <row r="756" spans="2:15" ht="18.75" hidden="1" x14ac:dyDescent="0.25">
      <c r="B756" s="4" t="s">
        <v>72</v>
      </c>
      <c r="C756" s="5" t="s">
        <v>134</v>
      </c>
      <c r="D756" s="5" t="s">
        <v>93</v>
      </c>
      <c r="E756" s="5" t="s">
        <v>54</v>
      </c>
      <c r="F756" s="5" t="s">
        <v>70</v>
      </c>
      <c r="G756" s="14">
        <v>43319</v>
      </c>
      <c r="H756" s="5">
        <v>100685679</v>
      </c>
      <c r="I756" s="14">
        <v>43331</v>
      </c>
      <c r="J756" s="5">
        <v>3985</v>
      </c>
      <c r="K756" s="15">
        <v>81.73</v>
      </c>
      <c r="L756" s="15">
        <v>56.67</v>
      </c>
      <c r="M756" s="15">
        <v>325694.05</v>
      </c>
      <c r="N756" s="15">
        <v>225829.95</v>
      </c>
      <c r="O756" s="16">
        <v>99864.099999999977</v>
      </c>
    </row>
    <row r="757" spans="2:15" ht="18.75" hidden="1" x14ac:dyDescent="0.25">
      <c r="B757" s="4" t="s">
        <v>56</v>
      </c>
      <c r="C757" s="5" t="s">
        <v>135</v>
      </c>
      <c r="D757" s="5" t="s">
        <v>78</v>
      </c>
      <c r="E757" s="5" t="s">
        <v>54</v>
      </c>
      <c r="F757" s="5" t="s">
        <v>59</v>
      </c>
      <c r="G757" s="14">
        <v>40498</v>
      </c>
      <c r="H757" s="5">
        <v>100686109</v>
      </c>
      <c r="I757" s="14">
        <v>40505</v>
      </c>
      <c r="J757" s="5">
        <v>4112</v>
      </c>
      <c r="K757" s="15">
        <v>47.45</v>
      </c>
      <c r="L757" s="15">
        <v>31.79</v>
      </c>
      <c r="M757" s="15">
        <v>195114.40000000002</v>
      </c>
      <c r="N757" s="15">
        <v>130720.48</v>
      </c>
      <c r="O757" s="16">
        <v>64393.920000000027</v>
      </c>
    </row>
    <row r="758" spans="2:15" ht="18.75" hidden="1" x14ac:dyDescent="0.25">
      <c r="B758" s="4" t="s">
        <v>51</v>
      </c>
      <c r="C758" s="5" t="s">
        <v>136</v>
      </c>
      <c r="D758" s="5" t="s">
        <v>96</v>
      </c>
      <c r="E758" s="5" t="s">
        <v>54</v>
      </c>
      <c r="F758" s="5" t="s">
        <v>59</v>
      </c>
      <c r="G758" s="14">
        <v>41635</v>
      </c>
      <c r="H758" s="5">
        <v>100686538</v>
      </c>
      <c r="I758" s="14">
        <v>41638</v>
      </c>
      <c r="J758" s="5">
        <v>4239</v>
      </c>
      <c r="K758" s="15">
        <v>154.06</v>
      </c>
      <c r="L758" s="15">
        <v>90.93</v>
      </c>
      <c r="M758" s="15">
        <v>653060.34</v>
      </c>
      <c r="N758" s="15">
        <v>385452.27</v>
      </c>
      <c r="O758" s="16">
        <v>267608.06999999995</v>
      </c>
    </row>
    <row r="759" spans="2:15" ht="18.75" hidden="1" x14ac:dyDescent="0.25">
      <c r="B759" s="4" t="s">
        <v>81</v>
      </c>
      <c r="C759" s="5" t="s">
        <v>221</v>
      </c>
      <c r="D759" s="5" t="s">
        <v>80</v>
      </c>
      <c r="E759" s="5" t="s">
        <v>54</v>
      </c>
      <c r="F759" s="5" t="s">
        <v>63</v>
      </c>
      <c r="G759" s="14">
        <v>42772</v>
      </c>
      <c r="H759" s="5">
        <v>100686967</v>
      </c>
      <c r="I759" s="14">
        <v>42821</v>
      </c>
      <c r="J759" s="5">
        <v>4366</v>
      </c>
      <c r="K759" s="15">
        <v>668.27</v>
      </c>
      <c r="L759" s="15">
        <v>502.54</v>
      </c>
      <c r="M759" s="15">
        <v>2917666.82</v>
      </c>
      <c r="N759" s="15">
        <v>2194089.64</v>
      </c>
      <c r="O759" s="16">
        <v>723577.1799999997</v>
      </c>
    </row>
    <row r="760" spans="2:15" ht="18.75" hidden="1" x14ac:dyDescent="0.25">
      <c r="B760" s="4" t="s">
        <v>51</v>
      </c>
      <c r="C760" s="5" t="s">
        <v>137</v>
      </c>
      <c r="D760" s="5" t="s">
        <v>65</v>
      </c>
      <c r="E760" s="5" t="s">
        <v>54</v>
      </c>
      <c r="F760" s="5" t="s">
        <v>55</v>
      </c>
      <c r="G760" s="14">
        <v>41088</v>
      </c>
      <c r="H760" s="5">
        <v>100687825</v>
      </c>
      <c r="I760" s="14">
        <v>41129</v>
      </c>
      <c r="J760" s="5">
        <v>4620</v>
      </c>
      <c r="K760" s="15">
        <v>651.21</v>
      </c>
      <c r="L760" s="15">
        <v>524.96</v>
      </c>
      <c r="M760" s="15">
        <v>3008590.2</v>
      </c>
      <c r="N760" s="15">
        <v>2425315.2000000002</v>
      </c>
      <c r="O760" s="16">
        <v>583275</v>
      </c>
    </row>
    <row r="761" spans="2:15" ht="18.75" hidden="1" x14ac:dyDescent="0.25">
      <c r="B761" s="4" t="s">
        <v>51</v>
      </c>
      <c r="C761" s="5" t="s">
        <v>233</v>
      </c>
      <c r="D761" s="5" t="s">
        <v>93</v>
      </c>
      <c r="E761" s="5" t="s">
        <v>54</v>
      </c>
      <c r="F761" s="5" t="s">
        <v>70</v>
      </c>
      <c r="G761" s="14">
        <v>40541</v>
      </c>
      <c r="H761" s="5">
        <v>100689113</v>
      </c>
      <c r="I761" s="14">
        <v>40569</v>
      </c>
      <c r="J761" s="5">
        <v>5001</v>
      </c>
      <c r="K761" s="15">
        <v>81.73</v>
      </c>
      <c r="L761" s="15">
        <v>56.67</v>
      </c>
      <c r="M761" s="15">
        <v>408731.73000000004</v>
      </c>
      <c r="N761" s="15">
        <v>283406.67</v>
      </c>
      <c r="O761" s="16">
        <v>125325.06000000006</v>
      </c>
    </row>
    <row r="762" spans="2:15" ht="18.75" hidden="1" x14ac:dyDescent="0.25">
      <c r="B762" s="4" t="s">
        <v>81</v>
      </c>
      <c r="C762" s="5" t="s">
        <v>140</v>
      </c>
      <c r="D762" s="5" t="s">
        <v>78</v>
      </c>
      <c r="E762" s="5" t="s">
        <v>54</v>
      </c>
      <c r="F762" s="5" t="s">
        <v>59</v>
      </c>
      <c r="G762" s="14">
        <v>41678</v>
      </c>
      <c r="H762" s="5">
        <v>100689542</v>
      </c>
      <c r="I762" s="14">
        <v>41701</v>
      </c>
      <c r="J762" s="5">
        <v>5128</v>
      </c>
      <c r="K762" s="15">
        <v>47.45</v>
      </c>
      <c r="L762" s="15">
        <v>31.79</v>
      </c>
      <c r="M762" s="15">
        <v>243323.6</v>
      </c>
      <c r="N762" s="15">
        <v>163019.12</v>
      </c>
      <c r="O762" s="16">
        <v>80304.48000000001</v>
      </c>
    </row>
    <row r="763" spans="2:15" ht="18.75" hidden="1" x14ac:dyDescent="0.25">
      <c r="B763" s="4" t="s">
        <v>56</v>
      </c>
      <c r="C763" s="5" t="s">
        <v>239</v>
      </c>
      <c r="D763" s="5" t="s">
        <v>100</v>
      </c>
      <c r="E763" s="5" t="s">
        <v>54</v>
      </c>
      <c r="F763" s="5" t="s">
        <v>55</v>
      </c>
      <c r="G763" s="14">
        <v>41131</v>
      </c>
      <c r="H763" s="5">
        <v>100690829</v>
      </c>
      <c r="I763" s="14">
        <v>41141</v>
      </c>
      <c r="J763" s="5">
        <v>5509</v>
      </c>
      <c r="K763" s="15">
        <v>205.7</v>
      </c>
      <c r="L763" s="15">
        <v>117.11</v>
      </c>
      <c r="M763" s="15">
        <v>1133201.3</v>
      </c>
      <c r="N763" s="15">
        <v>645158.99</v>
      </c>
      <c r="O763" s="16">
        <v>488042.31000000006</v>
      </c>
    </row>
    <row r="764" spans="2:15" ht="18.75" hidden="1" x14ac:dyDescent="0.25">
      <c r="B764" s="4" t="s">
        <v>56</v>
      </c>
      <c r="C764" s="5" t="s">
        <v>57</v>
      </c>
      <c r="D764" s="5" t="s">
        <v>62</v>
      </c>
      <c r="E764" s="5" t="s">
        <v>54</v>
      </c>
      <c r="F764" s="5" t="s">
        <v>70</v>
      </c>
      <c r="G764" s="14">
        <v>40584</v>
      </c>
      <c r="H764" s="5">
        <v>100692117</v>
      </c>
      <c r="I764" s="14">
        <v>40632</v>
      </c>
      <c r="J764" s="5">
        <v>5890</v>
      </c>
      <c r="K764" s="15">
        <v>437.2</v>
      </c>
      <c r="L764" s="15">
        <v>263.33</v>
      </c>
      <c r="M764" s="15">
        <v>2575108</v>
      </c>
      <c r="N764" s="15">
        <v>1551013.7</v>
      </c>
      <c r="O764" s="16">
        <v>1024094.3</v>
      </c>
    </row>
    <row r="765" spans="2:15" ht="18.75" hidden="1" x14ac:dyDescent="0.25">
      <c r="B765" s="4" t="s">
        <v>81</v>
      </c>
      <c r="C765" s="5" t="s">
        <v>145</v>
      </c>
      <c r="D765" s="5" t="s">
        <v>78</v>
      </c>
      <c r="E765" s="5" t="s">
        <v>54</v>
      </c>
      <c r="F765" s="5" t="s">
        <v>59</v>
      </c>
      <c r="G765" s="14">
        <v>42859</v>
      </c>
      <c r="H765" s="5">
        <v>100692975</v>
      </c>
      <c r="I765" s="14">
        <v>42898</v>
      </c>
      <c r="J765" s="5">
        <v>6144</v>
      </c>
      <c r="K765" s="15">
        <v>47.45</v>
      </c>
      <c r="L765" s="15">
        <v>31.79</v>
      </c>
      <c r="M765" s="15">
        <v>291532.80000000005</v>
      </c>
      <c r="N765" s="15">
        <v>195317.76000000001</v>
      </c>
      <c r="O765" s="16">
        <v>96215.040000000037</v>
      </c>
    </row>
    <row r="766" spans="2:15" ht="18.75" hidden="1" x14ac:dyDescent="0.25">
      <c r="B766" s="4" t="s">
        <v>51</v>
      </c>
      <c r="C766" s="5" t="s">
        <v>177</v>
      </c>
      <c r="D766" s="5" t="s">
        <v>80</v>
      </c>
      <c r="E766" s="5" t="s">
        <v>54</v>
      </c>
      <c r="F766" s="5" t="s">
        <v>63</v>
      </c>
      <c r="G766" s="14">
        <v>41174</v>
      </c>
      <c r="H766" s="5">
        <v>100693833</v>
      </c>
      <c r="I766" s="14">
        <v>41205</v>
      </c>
      <c r="J766" s="5">
        <v>6398</v>
      </c>
      <c r="K766" s="15">
        <v>668.27</v>
      </c>
      <c r="L766" s="15">
        <v>502.54</v>
      </c>
      <c r="M766" s="15">
        <v>4275591.46</v>
      </c>
      <c r="N766" s="15">
        <v>3215250.92</v>
      </c>
      <c r="O766" s="16">
        <v>1060340.54</v>
      </c>
    </row>
    <row r="767" spans="2:15" ht="18.75" hidden="1" x14ac:dyDescent="0.25">
      <c r="B767" s="4" t="s">
        <v>81</v>
      </c>
      <c r="C767" s="5" t="s">
        <v>241</v>
      </c>
      <c r="D767" s="5" t="s">
        <v>100</v>
      </c>
      <c r="E767" s="5" t="s">
        <v>54</v>
      </c>
      <c r="F767" s="5" t="s">
        <v>55</v>
      </c>
      <c r="G767" s="14">
        <v>42312</v>
      </c>
      <c r="H767" s="5">
        <v>100694262</v>
      </c>
      <c r="I767" s="14">
        <v>42338</v>
      </c>
      <c r="J767" s="5">
        <v>6525</v>
      </c>
      <c r="K767" s="15">
        <v>205.7</v>
      </c>
      <c r="L767" s="15">
        <v>117.11</v>
      </c>
      <c r="M767" s="15">
        <v>1342192.5</v>
      </c>
      <c r="N767" s="15">
        <v>764142.75</v>
      </c>
      <c r="O767" s="16">
        <v>578049.75</v>
      </c>
    </row>
    <row r="768" spans="2:15" ht="18.75" hidden="1" x14ac:dyDescent="0.25">
      <c r="B768" s="4" t="s">
        <v>51</v>
      </c>
      <c r="C768" s="5" t="s">
        <v>64</v>
      </c>
      <c r="D768" s="5" t="s">
        <v>93</v>
      </c>
      <c r="E768" s="5" t="s">
        <v>54</v>
      </c>
      <c r="F768" s="5" t="s">
        <v>59</v>
      </c>
      <c r="G768" s="14">
        <v>42902</v>
      </c>
      <c r="H768" s="5">
        <v>100695979</v>
      </c>
      <c r="I768" s="14">
        <v>42911</v>
      </c>
      <c r="J768" s="5">
        <v>7033</v>
      </c>
      <c r="K768" s="15">
        <v>81.73</v>
      </c>
      <c r="L768" s="15">
        <v>56.67</v>
      </c>
      <c r="M768" s="15">
        <v>574807.09000000008</v>
      </c>
      <c r="N768" s="15">
        <v>398560.11</v>
      </c>
      <c r="O768" s="16">
        <v>176246.9800000001</v>
      </c>
    </row>
    <row r="769" spans="2:15" ht="18.75" x14ac:dyDescent="0.25">
      <c r="B769" s="4" t="s">
        <v>66</v>
      </c>
      <c r="C769" s="5" t="s">
        <v>206</v>
      </c>
      <c r="D769" s="5" t="s">
        <v>58</v>
      </c>
      <c r="E769" s="5" t="s">
        <v>54</v>
      </c>
      <c r="F769" s="5" t="s">
        <v>63</v>
      </c>
      <c r="G769" s="14">
        <v>44039</v>
      </c>
      <c r="H769" s="5">
        <v>100696408</v>
      </c>
      <c r="I769" s="14">
        <v>44044</v>
      </c>
      <c r="J769" s="5">
        <v>7160</v>
      </c>
      <c r="K769" s="15">
        <v>255.28</v>
      </c>
      <c r="L769" s="15">
        <v>159.41999999999999</v>
      </c>
      <c r="M769" s="15">
        <v>1827804.8</v>
      </c>
      <c r="N769" s="15">
        <v>1141447.2</v>
      </c>
      <c r="O769" s="16">
        <v>686357.60000000009</v>
      </c>
    </row>
    <row r="770" spans="2:15" ht="18.75" hidden="1" x14ac:dyDescent="0.25">
      <c r="B770" s="4" t="s">
        <v>56</v>
      </c>
      <c r="C770" s="5" t="s">
        <v>207</v>
      </c>
      <c r="D770" s="5" t="s">
        <v>96</v>
      </c>
      <c r="E770" s="5" t="s">
        <v>54</v>
      </c>
      <c r="F770" s="5" t="s">
        <v>63</v>
      </c>
      <c r="G770" s="14">
        <v>41217</v>
      </c>
      <c r="H770" s="5">
        <v>100696837</v>
      </c>
      <c r="I770" s="14">
        <v>41217</v>
      </c>
      <c r="J770" s="5">
        <v>7287</v>
      </c>
      <c r="K770" s="15">
        <v>154.06</v>
      </c>
      <c r="L770" s="15">
        <v>90.93</v>
      </c>
      <c r="M770" s="15">
        <v>1122635.22</v>
      </c>
      <c r="N770" s="15">
        <v>662606.91</v>
      </c>
      <c r="O770" s="16">
        <v>460028.30999999994</v>
      </c>
    </row>
    <row r="771" spans="2:15" ht="18.75" hidden="1" x14ac:dyDescent="0.25">
      <c r="B771" s="4" t="s">
        <v>51</v>
      </c>
      <c r="C771" s="5" t="s">
        <v>234</v>
      </c>
      <c r="D771" s="5" t="s">
        <v>88</v>
      </c>
      <c r="E771" s="5" t="s">
        <v>54</v>
      </c>
      <c r="F771" s="5" t="s">
        <v>70</v>
      </c>
      <c r="G771" s="14">
        <v>41808</v>
      </c>
      <c r="H771" s="5">
        <v>100698554</v>
      </c>
      <c r="I771" s="14">
        <v>41842</v>
      </c>
      <c r="J771" s="5">
        <v>7795</v>
      </c>
      <c r="K771" s="15">
        <v>152.58000000000001</v>
      </c>
      <c r="L771" s="15">
        <v>97.44</v>
      </c>
      <c r="M771" s="15">
        <v>1189361.1000000001</v>
      </c>
      <c r="N771" s="15">
        <v>759544.79999999993</v>
      </c>
      <c r="O771" s="16">
        <v>429816.30000000016</v>
      </c>
    </row>
    <row r="772" spans="2:15" ht="18.75" hidden="1" x14ac:dyDescent="0.25">
      <c r="B772" s="4" t="s">
        <v>60</v>
      </c>
      <c r="C772" s="5" t="s">
        <v>71</v>
      </c>
      <c r="D772" s="5" t="s">
        <v>93</v>
      </c>
      <c r="E772" s="5" t="s">
        <v>54</v>
      </c>
      <c r="F772" s="5" t="s">
        <v>59</v>
      </c>
      <c r="G772" s="14">
        <v>44082</v>
      </c>
      <c r="H772" s="5">
        <v>100699412</v>
      </c>
      <c r="I772" s="14">
        <v>44107</v>
      </c>
      <c r="J772" s="5">
        <v>8049</v>
      </c>
      <c r="K772" s="15">
        <v>81.73</v>
      </c>
      <c r="L772" s="15">
        <v>56.67</v>
      </c>
      <c r="M772" s="15">
        <v>657844.77</v>
      </c>
      <c r="N772" s="15">
        <v>456136.83</v>
      </c>
      <c r="O772" s="16">
        <v>201707.94</v>
      </c>
    </row>
    <row r="773" spans="2:15" ht="18.75" hidden="1" x14ac:dyDescent="0.25">
      <c r="B773" s="4" t="s">
        <v>72</v>
      </c>
      <c r="C773" s="5" t="s">
        <v>77</v>
      </c>
      <c r="D773" s="5" t="s">
        <v>100</v>
      </c>
      <c r="E773" s="5" t="s">
        <v>54</v>
      </c>
      <c r="F773" s="5" t="s">
        <v>70</v>
      </c>
      <c r="G773" s="14">
        <v>40713</v>
      </c>
      <c r="H773" s="5">
        <v>100701129</v>
      </c>
      <c r="I773" s="14">
        <v>40721</v>
      </c>
      <c r="J773" s="5">
        <v>8557</v>
      </c>
      <c r="K773" s="15">
        <v>205.7</v>
      </c>
      <c r="L773" s="15">
        <v>117.11</v>
      </c>
      <c r="M773" s="15">
        <v>1760174.9</v>
      </c>
      <c r="N773" s="15">
        <v>1002110.27</v>
      </c>
      <c r="O773" s="16">
        <v>758064.62999999989</v>
      </c>
    </row>
    <row r="774" spans="2:15" ht="18.75" hidden="1" x14ac:dyDescent="0.25">
      <c r="B774" s="4" t="s">
        <v>56</v>
      </c>
      <c r="C774" s="5" t="s">
        <v>183</v>
      </c>
      <c r="D774" s="5" t="s">
        <v>76</v>
      </c>
      <c r="E774" s="5" t="s">
        <v>54</v>
      </c>
      <c r="F774" s="5" t="s">
        <v>70</v>
      </c>
      <c r="G774" s="14">
        <v>41851</v>
      </c>
      <c r="H774" s="5">
        <v>100701558</v>
      </c>
      <c r="I774" s="14">
        <v>41854</v>
      </c>
      <c r="J774" s="5">
        <v>8684</v>
      </c>
      <c r="K774" s="15">
        <v>421.89</v>
      </c>
      <c r="L774" s="15">
        <v>364.69</v>
      </c>
      <c r="M774" s="15">
        <v>3663692.76</v>
      </c>
      <c r="N774" s="15">
        <v>3166967.96</v>
      </c>
      <c r="O774" s="16">
        <v>496724.79999999981</v>
      </c>
    </row>
    <row r="775" spans="2:15" ht="18.75" hidden="1" x14ac:dyDescent="0.25">
      <c r="B775" s="4" t="s">
        <v>51</v>
      </c>
      <c r="C775" s="5" t="s">
        <v>151</v>
      </c>
      <c r="D775" s="5" t="s">
        <v>88</v>
      </c>
      <c r="E775" s="5" t="s">
        <v>54</v>
      </c>
      <c r="F775" s="5" t="s">
        <v>59</v>
      </c>
      <c r="G775" s="14">
        <v>42988</v>
      </c>
      <c r="H775" s="5">
        <v>100701987</v>
      </c>
      <c r="I775" s="14">
        <v>43038</v>
      </c>
      <c r="J775" s="5">
        <v>8811</v>
      </c>
      <c r="K775" s="15">
        <v>152.58000000000001</v>
      </c>
      <c r="L775" s="15">
        <v>97.44</v>
      </c>
      <c r="M775" s="15">
        <v>1344382.3800000001</v>
      </c>
      <c r="N775" s="15">
        <v>858543.84</v>
      </c>
      <c r="O775" s="16">
        <v>485838.54000000015</v>
      </c>
    </row>
    <row r="776" spans="2:15" ht="18.75" hidden="1" x14ac:dyDescent="0.25">
      <c r="B776" s="4" t="s">
        <v>60</v>
      </c>
      <c r="C776" s="5" t="s">
        <v>224</v>
      </c>
      <c r="D776" s="5" t="s">
        <v>68</v>
      </c>
      <c r="E776" s="5" t="s">
        <v>54</v>
      </c>
      <c r="F776" s="5" t="s">
        <v>55</v>
      </c>
      <c r="G776" s="14">
        <v>40757</v>
      </c>
      <c r="H776" s="5">
        <v>100704133</v>
      </c>
      <c r="I776" s="14">
        <v>40785</v>
      </c>
      <c r="J776" s="5">
        <v>9446</v>
      </c>
      <c r="K776" s="15">
        <v>109.28</v>
      </c>
      <c r="L776" s="15">
        <v>35.840000000000003</v>
      </c>
      <c r="M776" s="15">
        <v>1032258.88</v>
      </c>
      <c r="N776" s="15">
        <v>338544.64000000001</v>
      </c>
      <c r="O776" s="16">
        <v>693714.24</v>
      </c>
    </row>
    <row r="777" spans="2:15" ht="18.75" hidden="1" x14ac:dyDescent="0.25">
      <c r="B777" s="4" t="s">
        <v>51</v>
      </c>
      <c r="C777" s="5" t="s">
        <v>154</v>
      </c>
      <c r="D777" s="5" t="s">
        <v>100</v>
      </c>
      <c r="E777" s="5" t="s">
        <v>54</v>
      </c>
      <c r="F777" s="5" t="s">
        <v>70</v>
      </c>
      <c r="G777" s="14">
        <v>41894</v>
      </c>
      <c r="H777" s="5">
        <v>100704562</v>
      </c>
      <c r="I777" s="14">
        <v>41918</v>
      </c>
      <c r="J777" s="5">
        <v>9573</v>
      </c>
      <c r="K777" s="15">
        <v>205.7</v>
      </c>
      <c r="L777" s="15">
        <v>117.11</v>
      </c>
      <c r="M777" s="15">
        <v>1969166.0999999999</v>
      </c>
      <c r="N777" s="15">
        <v>1121094.03</v>
      </c>
      <c r="O777" s="16">
        <v>848072.06999999983</v>
      </c>
    </row>
    <row r="778" spans="2:15" ht="18.75" hidden="1" x14ac:dyDescent="0.25">
      <c r="B778" s="4" t="s">
        <v>81</v>
      </c>
      <c r="C778" s="5" t="s">
        <v>85</v>
      </c>
      <c r="D778" s="5" t="s">
        <v>76</v>
      </c>
      <c r="E778" s="5" t="s">
        <v>54</v>
      </c>
      <c r="F778" s="5" t="s">
        <v>70</v>
      </c>
      <c r="G778" s="14">
        <v>43031</v>
      </c>
      <c r="H778" s="5">
        <v>100704991</v>
      </c>
      <c r="I778" s="14">
        <v>43050</v>
      </c>
      <c r="J778" s="5">
        <v>9700</v>
      </c>
      <c r="K778" s="15">
        <v>421.89</v>
      </c>
      <c r="L778" s="15">
        <v>364.69</v>
      </c>
      <c r="M778" s="15">
        <v>4092333</v>
      </c>
      <c r="N778" s="15">
        <v>3537493</v>
      </c>
      <c r="O778" s="16">
        <v>554840</v>
      </c>
    </row>
    <row r="779" spans="2:15" ht="18.75" hidden="1" x14ac:dyDescent="0.25">
      <c r="B779" s="4" t="s">
        <v>72</v>
      </c>
      <c r="C779" s="5" t="s">
        <v>225</v>
      </c>
      <c r="D779" s="5" t="s">
        <v>53</v>
      </c>
      <c r="E779" s="5" t="s">
        <v>54</v>
      </c>
      <c r="F779" s="5" t="s">
        <v>63</v>
      </c>
      <c r="G779" s="14">
        <v>41347</v>
      </c>
      <c r="H779" s="5">
        <v>100705850</v>
      </c>
      <c r="I779" s="14">
        <v>41358</v>
      </c>
      <c r="J779" s="5">
        <v>9954</v>
      </c>
      <c r="K779" s="15">
        <v>9.33</v>
      </c>
      <c r="L779" s="15">
        <v>6.92</v>
      </c>
      <c r="M779" s="15">
        <v>92870.82</v>
      </c>
      <c r="N779" s="15">
        <v>68881.679999999993</v>
      </c>
      <c r="O779" s="16">
        <v>23989.140000000014</v>
      </c>
    </row>
    <row r="780" spans="2:15" ht="18.75" hidden="1" x14ac:dyDescent="0.25">
      <c r="B780" s="4" t="s">
        <v>51</v>
      </c>
      <c r="C780" s="5" t="s">
        <v>87</v>
      </c>
      <c r="D780" s="5" t="s">
        <v>58</v>
      </c>
      <c r="E780" s="5" t="s">
        <v>54</v>
      </c>
      <c r="F780" s="5" t="s">
        <v>55</v>
      </c>
      <c r="G780" s="14">
        <v>43622</v>
      </c>
      <c r="H780" s="5">
        <v>100706708</v>
      </c>
      <c r="I780" s="14">
        <v>43624</v>
      </c>
      <c r="J780" s="5">
        <v>208</v>
      </c>
      <c r="K780" s="15">
        <v>255.28</v>
      </c>
      <c r="L780" s="15">
        <v>159.41999999999999</v>
      </c>
      <c r="M780" s="15">
        <v>53098.239999999998</v>
      </c>
      <c r="N780" s="15">
        <v>33159.360000000001</v>
      </c>
      <c r="O780" s="16">
        <v>19938.879999999997</v>
      </c>
    </row>
    <row r="781" spans="2:15" ht="18.75" hidden="1" x14ac:dyDescent="0.25">
      <c r="B781" s="4" t="s">
        <v>81</v>
      </c>
      <c r="C781" s="5" t="s">
        <v>212</v>
      </c>
      <c r="D781" s="5" t="s">
        <v>96</v>
      </c>
      <c r="E781" s="5" t="s">
        <v>54</v>
      </c>
      <c r="F781" s="5" t="s">
        <v>55</v>
      </c>
      <c r="G781" s="14">
        <v>40800</v>
      </c>
      <c r="H781" s="5">
        <v>100707137</v>
      </c>
      <c r="I781" s="14">
        <v>40849</v>
      </c>
      <c r="J781" s="5">
        <v>335</v>
      </c>
      <c r="K781" s="15">
        <v>154.06</v>
      </c>
      <c r="L781" s="15">
        <v>90.93</v>
      </c>
      <c r="M781" s="15">
        <v>51610.1</v>
      </c>
      <c r="N781" s="15">
        <v>30461.550000000003</v>
      </c>
      <c r="O781" s="16">
        <v>21148.549999999996</v>
      </c>
    </row>
    <row r="782" spans="2:15" ht="18.75" hidden="1" x14ac:dyDescent="0.25">
      <c r="B782" s="4" t="s">
        <v>81</v>
      </c>
      <c r="C782" s="5" t="s">
        <v>187</v>
      </c>
      <c r="D782" s="5" t="s">
        <v>76</v>
      </c>
      <c r="E782" s="5" t="s">
        <v>54</v>
      </c>
      <c r="F782" s="5" t="s">
        <v>59</v>
      </c>
      <c r="G782" s="14">
        <v>40253</v>
      </c>
      <c r="H782" s="5">
        <v>100708425</v>
      </c>
      <c r="I782" s="14">
        <v>40289</v>
      </c>
      <c r="J782" s="5">
        <v>716</v>
      </c>
      <c r="K782" s="15">
        <v>421.89</v>
      </c>
      <c r="L782" s="15">
        <v>364.69</v>
      </c>
      <c r="M782" s="15">
        <v>302073.24</v>
      </c>
      <c r="N782" s="15">
        <v>261118.04</v>
      </c>
      <c r="O782" s="16">
        <v>40955.199999999983</v>
      </c>
    </row>
    <row r="783" spans="2:15" ht="18.75" hidden="1" x14ac:dyDescent="0.25">
      <c r="B783" s="4" t="s">
        <v>60</v>
      </c>
      <c r="C783" s="5" t="s">
        <v>213</v>
      </c>
      <c r="D783" s="5" t="s">
        <v>88</v>
      </c>
      <c r="E783" s="5" t="s">
        <v>54</v>
      </c>
      <c r="F783" s="5" t="s">
        <v>59</v>
      </c>
      <c r="G783" s="14">
        <v>41390</v>
      </c>
      <c r="H783" s="5">
        <v>100708854</v>
      </c>
      <c r="I783" s="14">
        <v>41421</v>
      </c>
      <c r="J783" s="5">
        <v>843</v>
      </c>
      <c r="K783" s="15">
        <v>152.58000000000001</v>
      </c>
      <c r="L783" s="15">
        <v>97.44</v>
      </c>
      <c r="M783" s="15">
        <v>128624.94000000002</v>
      </c>
      <c r="N783" s="15">
        <v>82141.919999999998</v>
      </c>
      <c r="O783" s="16">
        <v>46483.020000000019</v>
      </c>
    </row>
    <row r="784" spans="2:15" ht="18.75" hidden="1" x14ac:dyDescent="0.25">
      <c r="B784" s="4" t="s">
        <v>51</v>
      </c>
      <c r="C784" s="5" t="s">
        <v>256</v>
      </c>
      <c r="D784" s="5" t="s">
        <v>53</v>
      </c>
      <c r="E784" s="5" t="s">
        <v>54</v>
      </c>
      <c r="F784" s="5" t="s">
        <v>63</v>
      </c>
      <c r="G784" s="14">
        <v>42527</v>
      </c>
      <c r="H784" s="5">
        <v>100709283</v>
      </c>
      <c r="I784" s="14">
        <v>42554</v>
      </c>
      <c r="J784" s="5">
        <v>970</v>
      </c>
      <c r="K784" s="15">
        <v>9.33</v>
      </c>
      <c r="L784" s="15">
        <v>6.92</v>
      </c>
      <c r="M784" s="15">
        <v>9050.1</v>
      </c>
      <c r="N784" s="15">
        <v>6712.4</v>
      </c>
      <c r="O784" s="16">
        <v>2337.7000000000007</v>
      </c>
    </row>
    <row r="785" spans="2:15" ht="18.75" hidden="1" x14ac:dyDescent="0.25">
      <c r="B785" s="4" t="s">
        <v>72</v>
      </c>
      <c r="C785" s="5" t="s">
        <v>91</v>
      </c>
      <c r="D785" s="5" t="s">
        <v>96</v>
      </c>
      <c r="E785" s="5" t="s">
        <v>54</v>
      </c>
      <c r="F785" s="5" t="s">
        <v>70</v>
      </c>
      <c r="G785" s="14">
        <v>41980</v>
      </c>
      <c r="H785" s="5">
        <v>100710570</v>
      </c>
      <c r="I785" s="14">
        <v>41994</v>
      </c>
      <c r="J785" s="5">
        <v>1351</v>
      </c>
      <c r="K785" s="15">
        <v>154.06</v>
      </c>
      <c r="L785" s="15">
        <v>90.93</v>
      </c>
      <c r="M785" s="15">
        <v>208135.06</v>
      </c>
      <c r="N785" s="15">
        <v>122846.43000000001</v>
      </c>
      <c r="O785" s="16">
        <v>85288.62999999999</v>
      </c>
    </row>
    <row r="786" spans="2:15" ht="18.75" hidden="1" x14ac:dyDescent="0.25">
      <c r="B786" s="4" t="s">
        <v>56</v>
      </c>
      <c r="C786" s="5" t="s">
        <v>97</v>
      </c>
      <c r="D786" s="5" t="s">
        <v>88</v>
      </c>
      <c r="E786" s="5" t="s">
        <v>54</v>
      </c>
      <c r="F786" s="5" t="s">
        <v>63</v>
      </c>
      <c r="G786" s="14">
        <v>42571</v>
      </c>
      <c r="H786" s="5">
        <v>100712287</v>
      </c>
      <c r="I786" s="14">
        <v>42618</v>
      </c>
      <c r="J786" s="5">
        <v>1859</v>
      </c>
      <c r="K786" s="15">
        <v>152.58000000000001</v>
      </c>
      <c r="L786" s="15">
        <v>97.44</v>
      </c>
      <c r="M786" s="15">
        <v>283646.22000000003</v>
      </c>
      <c r="N786" s="15">
        <v>181140.96</v>
      </c>
      <c r="O786" s="16">
        <v>102505.26000000004</v>
      </c>
    </row>
    <row r="787" spans="2:15" ht="18.75" hidden="1" x14ac:dyDescent="0.25">
      <c r="B787" s="4" t="s">
        <v>81</v>
      </c>
      <c r="C787" s="5" t="s">
        <v>190</v>
      </c>
      <c r="D787" s="5" t="s">
        <v>93</v>
      </c>
      <c r="E787" s="5" t="s">
        <v>54</v>
      </c>
      <c r="F787" s="5" t="s">
        <v>55</v>
      </c>
      <c r="G787" s="14">
        <v>40886</v>
      </c>
      <c r="H787" s="5">
        <v>100713145</v>
      </c>
      <c r="I787" s="14">
        <v>40925</v>
      </c>
      <c r="J787" s="5">
        <v>2113</v>
      </c>
      <c r="K787" s="15">
        <v>81.73</v>
      </c>
      <c r="L787" s="15">
        <v>56.67</v>
      </c>
      <c r="M787" s="15">
        <v>172695.49000000002</v>
      </c>
      <c r="N787" s="15">
        <v>119743.71</v>
      </c>
      <c r="O787" s="16">
        <v>52951.780000000013</v>
      </c>
    </row>
    <row r="788" spans="2:15" ht="18.75" hidden="1" x14ac:dyDescent="0.25">
      <c r="B788" s="4" t="s">
        <v>60</v>
      </c>
      <c r="C788" s="5" t="s">
        <v>243</v>
      </c>
      <c r="D788" s="5" t="s">
        <v>58</v>
      </c>
      <c r="E788" s="5" t="s">
        <v>54</v>
      </c>
      <c r="F788" s="5" t="s">
        <v>55</v>
      </c>
      <c r="G788" s="14">
        <v>42023</v>
      </c>
      <c r="H788" s="5">
        <v>100713574</v>
      </c>
      <c r="I788" s="14">
        <v>42057</v>
      </c>
      <c r="J788" s="5">
        <v>2240</v>
      </c>
      <c r="K788" s="15">
        <v>255.28</v>
      </c>
      <c r="L788" s="15">
        <v>159.41999999999999</v>
      </c>
      <c r="M788" s="15">
        <v>571827.19999999995</v>
      </c>
      <c r="N788" s="15">
        <v>357100.79999999999</v>
      </c>
      <c r="O788" s="16">
        <v>214726.39999999997</v>
      </c>
    </row>
    <row r="789" spans="2:15" ht="18.75" hidden="1" x14ac:dyDescent="0.25">
      <c r="B789" s="4" t="s">
        <v>51</v>
      </c>
      <c r="C789" s="5" t="s">
        <v>98</v>
      </c>
      <c r="D789" s="5" t="s">
        <v>76</v>
      </c>
      <c r="E789" s="5" t="s">
        <v>54</v>
      </c>
      <c r="F789" s="5" t="s">
        <v>59</v>
      </c>
      <c r="G789" s="14">
        <v>42614</v>
      </c>
      <c r="H789" s="5">
        <v>100715291</v>
      </c>
      <c r="I789" s="14">
        <v>42631</v>
      </c>
      <c r="J789" s="5">
        <v>2748</v>
      </c>
      <c r="K789" s="15">
        <v>421.89</v>
      </c>
      <c r="L789" s="15">
        <v>364.69</v>
      </c>
      <c r="M789" s="15">
        <v>1159353.72</v>
      </c>
      <c r="N789" s="15">
        <v>1002168.12</v>
      </c>
      <c r="O789" s="16">
        <v>157185.59999999998</v>
      </c>
    </row>
    <row r="790" spans="2:15" ht="18.75" hidden="1" x14ac:dyDescent="0.25">
      <c r="B790" s="4" t="s">
        <v>81</v>
      </c>
      <c r="C790" s="5" t="s">
        <v>259</v>
      </c>
      <c r="D790" s="5" t="s">
        <v>88</v>
      </c>
      <c r="E790" s="5" t="s">
        <v>54</v>
      </c>
      <c r="F790" s="5" t="s">
        <v>63</v>
      </c>
      <c r="G790" s="14">
        <v>43751</v>
      </c>
      <c r="H790" s="5">
        <v>100715720</v>
      </c>
      <c r="I790" s="14">
        <v>43763</v>
      </c>
      <c r="J790" s="5">
        <v>2875</v>
      </c>
      <c r="K790" s="15">
        <v>152.58000000000001</v>
      </c>
      <c r="L790" s="15">
        <v>97.44</v>
      </c>
      <c r="M790" s="15">
        <v>438667.50000000006</v>
      </c>
      <c r="N790" s="15">
        <v>280140</v>
      </c>
      <c r="O790" s="16">
        <v>158527.50000000006</v>
      </c>
    </row>
    <row r="791" spans="2:15" ht="18.75" hidden="1" x14ac:dyDescent="0.25">
      <c r="B791" s="4" t="s">
        <v>72</v>
      </c>
      <c r="C791" s="5" t="s">
        <v>250</v>
      </c>
      <c r="D791" s="5" t="s">
        <v>80</v>
      </c>
      <c r="E791" s="5" t="s">
        <v>54</v>
      </c>
      <c r="F791" s="5" t="s">
        <v>55</v>
      </c>
      <c r="G791" s="14">
        <v>42067</v>
      </c>
      <c r="H791" s="5">
        <v>100716578</v>
      </c>
      <c r="I791" s="14">
        <v>42071</v>
      </c>
      <c r="J791" s="5">
        <v>3129</v>
      </c>
      <c r="K791" s="15">
        <v>668.27</v>
      </c>
      <c r="L791" s="15">
        <v>502.54</v>
      </c>
      <c r="M791" s="15">
        <v>2091016.8299999998</v>
      </c>
      <c r="N791" s="15">
        <v>1572447.6600000001</v>
      </c>
      <c r="O791" s="16">
        <v>518569.16999999969</v>
      </c>
    </row>
    <row r="792" spans="2:15" ht="18.75" hidden="1" x14ac:dyDescent="0.25">
      <c r="B792" s="4" t="s">
        <v>60</v>
      </c>
      <c r="C792" s="5" t="s">
        <v>164</v>
      </c>
      <c r="D792" s="5" t="s">
        <v>62</v>
      </c>
      <c r="E792" s="5" t="s">
        <v>54</v>
      </c>
      <c r="F792" s="5" t="s">
        <v>59</v>
      </c>
      <c r="G792" s="14">
        <v>42657</v>
      </c>
      <c r="H792" s="5">
        <v>100718295</v>
      </c>
      <c r="I792" s="14">
        <v>42694</v>
      </c>
      <c r="J792" s="5">
        <v>3637</v>
      </c>
      <c r="K792" s="15">
        <v>437.2</v>
      </c>
      <c r="L792" s="15">
        <v>263.33</v>
      </c>
      <c r="M792" s="15">
        <v>1590096.4</v>
      </c>
      <c r="N792" s="15">
        <v>957731.21</v>
      </c>
      <c r="O792" s="16">
        <v>632365.18999999994</v>
      </c>
    </row>
    <row r="793" spans="2:15" ht="18.75" hidden="1" x14ac:dyDescent="0.25">
      <c r="B793" s="4" t="s">
        <v>51</v>
      </c>
      <c r="C793" s="5" t="s">
        <v>165</v>
      </c>
      <c r="D793" s="5" t="s">
        <v>76</v>
      </c>
      <c r="E793" s="5" t="s">
        <v>54</v>
      </c>
      <c r="F793" s="5" t="s">
        <v>63</v>
      </c>
      <c r="G793" s="14">
        <v>43794</v>
      </c>
      <c r="H793" s="5">
        <v>100718724</v>
      </c>
      <c r="I793" s="14">
        <v>43827</v>
      </c>
      <c r="J793" s="5">
        <v>3764</v>
      </c>
      <c r="K793" s="15">
        <v>421.89</v>
      </c>
      <c r="L793" s="15">
        <v>364.69</v>
      </c>
      <c r="M793" s="15">
        <v>1587993.96</v>
      </c>
      <c r="N793" s="15">
        <v>1372693.16</v>
      </c>
      <c r="O793" s="16">
        <v>215300.80000000005</v>
      </c>
    </row>
    <row r="794" spans="2:15" ht="18.75" hidden="1" x14ac:dyDescent="0.25">
      <c r="B794" s="4" t="s">
        <v>51</v>
      </c>
      <c r="C794" s="5" t="s">
        <v>219</v>
      </c>
      <c r="D794" s="5" t="s">
        <v>80</v>
      </c>
      <c r="E794" s="5" t="s">
        <v>54</v>
      </c>
      <c r="F794" s="5" t="s">
        <v>55</v>
      </c>
      <c r="G794" s="14">
        <v>43247</v>
      </c>
      <c r="H794" s="5">
        <v>100720012</v>
      </c>
      <c r="I794" s="14">
        <v>43267</v>
      </c>
      <c r="J794" s="5">
        <v>4145</v>
      </c>
      <c r="K794" s="15">
        <v>668.27</v>
      </c>
      <c r="L794" s="15">
        <v>502.54</v>
      </c>
      <c r="M794" s="15">
        <v>2769979.15</v>
      </c>
      <c r="N794" s="15">
        <v>2083028.3</v>
      </c>
      <c r="O794" s="16">
        <v>686950.84999999986</v>
      </c>
    </row>
    <row r="795" spans="2:15" ht="18.75" hidden="1" x14ac:dyDescent="0.25">
      <c r="B795" s="4" t="s">
        <v>74</v>
      </c>
      <c r="C795" s="5" t="s">
        <v>104</v>
      </c>
      <c r="D795" s="5" t="s">
        <v>65</v>
      </c>
      <c r="E795" s="5" t="s">
        <v>54</v>
      </c>
      <c r="F795" s="5" t="s">
        <v>59</v>
      </c>
      <c r="G795" s="14">
        <v>41563</v>
      </c>
      <c r="H795" s="5">
        <v>100720870</v>
      </c>
      <c r="I795" s="14">
        <v>41574</v>
      </c>
      <c r="J795" s="5">
        <v>4399</v>
      </c>
      <c r="K795" s="15">
        <v>651.21</v>
      </c>
      <c r="L795" s="15">
        <v>524.96</v>
      </c>
      <c r="M795" s="15">
        <v>2864672.79</v>
      </c>
      <c r="N795" s="15">
        <v>2309299.04</v>
      </c>
      <c r="O795" s="16">
        <v>555373.75</v>
      </c>
    </row>
    <row r="796" spans="2:15" ht="18.75" hidden="1" x14ac:dyDescent="0.25">
      <c r="B796" s="4" t="s">
        <v>81</v>
      </c>
      <c r="C796" s="5" t="s">
        <v>197</v>
      </c>
      <c r="D796" s="5" t="s">
        <v>78</v>
      </c>
      <c r="E796" s="5" t="s">
        <v>54</v>
      </c>
      <c r="F796" s="5" t="s">
        <v>55</v>
      </c>
      <c r="G796" s="14">
        <v>42153</v>
      </c>
      <c r="H796" s="5">
        <v>100722587</v>
      </c>
      <c r="I796" s="14">
        <v>42198</v>
      </c>
      <c r="J796" s="5">
        <v>4907</v>
      </c>
      <c r="K796" s="15">
        <v>47.45</v>
      </c>
      <c r="L796" s="15">
        <v>31.79</v>
      </c>
      <c r="M796" s="15">
        <v>232837.15000000002</v>
      </c>
      <c r="N796" s="15">
        <v>155993.53</v>
      </c>
      <c r="O796" s="16">
        <v>76843.620000000024</v>
      </c>
    </row>
    <row r="797" spans="2:15" ht="18.75" hidden="1" x14ac:dyDescent="0.25">
      <c r="B797" s="4" t="s">
        <v>51</v>
      </c>
      <c r="C797" s="5" t="s">
        <v>168</v>
      </c>
      <c r="D797" s="5" t="s">
        <v>80</v>
      </c>
      <c r="E797" s="5" t="s">
        <v>54</v>
      </c>
      <c r="F797" s="5" t="s">
        <v>70</v>
      </c>
      <c r="G797" s="14">
        <v>40469</v>
      </c>
      <c r="H797" s="5">
        <v>100723445</v>
      </c>
      <c r="I797" s="14">
        <v>40505</v>
      </c>
      <c r="J797" s="5">
        <v>5161</v>
      </c>
      <c r="K797" s="15">
        <v>668.27</v>
      </c>
      <c r="L797" s="15">
        <v>502.54</v>
      </c>
      <c r="M797" s="15">
        <v>3448941.4699999997</v>
      </c>
      <c r="N797" s="15">
        <v>2593608.94</v>
      </c>
      <c r="O797" s="16">
        <v>855332.5299999998</v>
      </c>
    </row>
    <row r="798" spans="2:15" ht="18.75" hidden="1" x14ac:dyDescent="0.25">
      <c r="B798" s="4" t="s">
        <v>81</v>
      </c>
      <c r="C798" s="5" t="s">
        <v>169</v>
      </c>
      <c r="D798" s="5" t="s">
        <v>58</v>
      </c>
      <c r="E798" s="5" t="s">
        <v>54</v>
      </c>
      <c r="F798" s="5" t="s">
        <v>70</v>
      </c>
      <c r="G798" s="14">
        <v>41606</v>
      </c>
      <c r="H798" s="5">
        <v>100723874</v>
      </c>
      <c r="I798" s="14">
        <v>41638</v>
      </c>
      <c r="J798" s="5">
        <v>5287</v>
      </c>
      <c r="K798" s="15">
        <v>255.28</v>
      </c>
      <c r="L798" s="15">
        <v>159.41999999999999</v>
      </c>
      <c r="M798" s="15">
        <v>1349665.36</v>
      </c>
      <c r="N798" s="15">
        <v>842853.53999999992</v>
      </c>
      <c r="O798" s="16">
        <v>506811.82000000018</v>
      </c>
    </row>
    <row r="799" spans="2:15" ht="18.75" hidden="1" x14ac:dyDescent="0.25">
      <c r="B799" s="4" t="s">
        <v>60</v>
      </c>
      <c r="C799" s="5" t="s">
        <v>228</v>
      </c>
      <c r="D799" s="5" t="s">
        <v>65</v>
      </c>
      <c r="E799" s="5" t="s">
        <v>54</v>
      </c>
      <c r="F799" s="5" t="s">
        <v>59</v>
      </c>
      <c r="G799" s="14">
        <v>42743</v>
      </c>
      <c r="H799" s="5">
        <v>100724303</v>
      </c>
      <c r="I799" s="14">
        <v>42770</v>
      </c>
      <c r="J799" s="5">
        <v>5414</v>
      </c>
      <c r="K799" s="15">
        <v>651.21</v>
      </c>
      <c r="L799" s="15">
        <v>524.96</v>
      </c>
      <c r="M799" s="15">
        <v>3525650.9400000004</v>
      </c>
      <c r="N799" s="15">
        <v>2842133.4400000004</v>
      </c>
      <c r="O799" s="16">
        <v>683517.5</v>
      </c>
    </row>
    <row r="800" spans="2:15" ht="18.75" hidden="1" x14ac:dyDescent="0.25">
      <c r="B800" s="4" t="s">
        <v>60</v>
      </c>
      <c r="C800" s="5" t="s">
        <v>172</v>
      </c>
      <c r="D800" s="5" t="s">
        <v>76</v>
      </c>
      <c r="E800" s="5" t="s">
        <v>54</v>
      </c>
      <c r="F800" s="5" t="s">
        <v>55</v>
      </c>
      <c r="G800" s="14">
        <v>42196</v>
      </c>
      <c r="H800" s="5">
        <v>100725591</v>
      </c>
      <c r="I800" s="14">
        <v>42210</v>
      </c>
      <c r="J800" s="5">
        <v>5795</v>
      </c>
      <c r="K800" s="15">
        <v>421.89</v>
      </c>
      <c r="L800" s="15">
        <v>364.69</v>
      </c>
      <c r="M800" s="15">
        <v>2444852.5499999998</v>
      </c>
      <c r="N800" s="15">
        <v>2113378.5499999998</v>
      </c>
      <c r="O800" s="16">
        <v>331474</v>
      </c>
    </row>
    <row r="801" spans="2:15" ht="18.75" hidden="1" x14ac:dyDescent="0.25">
      <c r="B801" s="4" t="s">
        <v>72</v>
      </c>
      <c r="C801" s="5" t="s">
        <v>109</v>
      </c>
      <c r="D801" s="5" t="s">
        <v>78</v>
      </c>
      <c r="E801" s="5" t="s">
        <v>54</v>
      </c>
      <c r="F801" s="5" t="s">
        <v>55</v>
      </c>
      <c r="G801" s="14">
        <v>43333</v>
      </c>
      <c r="H801" s="5">
        <v>100726020</v>
      </c>
      <c r="I801" s="14">
        <v>43343</v>
      </c>
      <c r="J801" s="5">
        <v>5922</v>
      </c>
      <c r="K801" s="15">
        <v>47.45</v>
      </c>
      <c r="L801" s="15">
        <v>31.79</v>
      </c>
      <c r="M801" s="15">
        <v>280998.90000000002</v>
      </c>
      <c r="N801" s="15">
        <v>188260.38</v>
      </c>
      <c r="O801" s="16">
        <v>92738.520000000019</v>
      </c>
    </row>
    <row r="802" spans="2:15" ht="18.75" hidden="1" x14ac:dyDescent="0.25">
      <c r="B802" s="4" t="s">
        <v>81</v>
      </c>
      <c r="C802" s="5" t="s">
        <v>110</v>
      </c>
      <c r="D802" s="5" t="s">
        <v>53</v>
      </c>
      <c r="E802" s="5" t="s">
        <v>54</v>
      </c>
      <c r="F802" s="5" t="s">
        <v>70</v>
      </c>
      <c r="G802" s="14">
        <v>40512</v>
      </c>
      <c r="H802" s="5">
        <v>100726449</v>
      </c>
      <c r="I802" s="14">
        <v>40517</v>
      </c>
      <c r="J802" s="5">
        <v>6049</v>
      </c>
      <c r="K802" s="15">
        <v>9.33</v>
      </c>
      <c r="L802" s="15">
        <v>6.92</v>
      </c>
      <c r="M802" s="15">
        <v>56437.17</v>
      </c>
      <c r="N802" s="15">
        <v>41859.08</v>
      </c>
      <c r="O802" s="16">
        <v>14578.089999999997</v>
      </c>
    </row>
    <row r="803" spans="2:15" ht="18.75" hidden="1" x14ac:dyDescent="0.25">
      <c r="B803" s="4" t="s">
        <v>74</v>
      </c>
      <c r="C803" s="5" t="s">
        <v>220</v>
      </c>
      <c r="D803" s="5" t="s">
        <v>80</v>
      </c>
      <c r="E803" s="5" t="s">
        <v>54</v>
      </c>
      <c r="F803" s="5" t="s">
        <v>70</v>
      </c>
      <c r="G803" s="14">
        <v>41649</v>
      </c>
      <c r="H803" s="5">
        <v>100726878</v>
      </c>
      <c r="I803" s="14">
        <v>41650</v>
      </c>
      <c r="J803" s="5">
        <v>6176</v>
      </c>
      <c r="K803" s="15">
        <v>668.27</v>
      </c>
      <c r="L803" s="15">
        <v>502.54</v>
      </c>
      <c r="M803" s="15">
        <v>4127235.52</v>
      </c>
      <c r="N803" s="15">
        <v>3103687.04</v>
      </c>
      <c r="O803" s="16">
        <v>1023548.48</v>
      </c>
    </row>
    <row r="804" spans="2:15" ht="18.75" hidden="1" x14ac:dyDescent="0.25">
      <c r="B804" s="4" t="s">
        <v>60</v>
      </c>
      <c r="C804" s="5" t="s">
        <v>238</v>
      </c>
      <c r="D804" s="5" t="s">
        <v>76</v>
      </c>
      <c r="E804" s="5" t="s">
        <v>132</v>
      </c>
      <c r="F804" s="5" t="s">
        <v>55</v>
      </c>
      <c r="G804" s="14">
        <v>43377</v>
      </c>
      <c r="H804" s="5">
        <v>100729024</v>
      </c>
      <c r="I804" s="14">
        <v>43407</v>
      </c>
      <c r="J804" s="5">
        <v>6811</v>
      </c>
      <c r="K804" s="15">
        <v>421.89</v>
      </c>
      <c r="L804" s="15">
        <v>364.69</v>
      </c>
      <c r="M804" s="15">
        <v>2873492.79</v>
      </c>
      <c r="N804" s="15">
        <v>2483903.59</v>
      </c>
      <c r="O804" s="16">
        <v>389589.20000000019</v>
      </c>
    </row>
    <row r="805" spans="2:15" ht="18.75" hidden="1" x14ac:dyDescent="0.25">
      <c r="B805" s="4" t="s">
        <v>51</v>
      </c>
      <c r="C805" s="5" t="s">
        <v>114</v>
      </c>
      <c r="D805" s="5" t="s">
        <v>78</v>
      </c>
      <c r="E805" s="5" t="s">
        <v>132</v>
      </c>
      <c r="F805" s="5" t="s">
        <v>55</v>
      </c>
      <c r="G805" s="14">
        <v>40555</v>
      </c>
      <c r="H805" s="5">
        <v>100729453</v>
      </c>
      <c r="I805" s="14">
        <v>40581</v>
      </c>
      <c r="J805" s="5">
        <v>6938</v>
      </c>
      <c r="K805" s="15">
        <v>47.45</v>
      </c>
      <c r="L805" s="15">
        <v>31.79</v>
      </c>
      <c r="M805" s="15">
        <v>329208.10000000003</v>
      </c>
      <c r="N805" s="15">
        <v>220559.02</v>
      </c>
      <c r="O805" s="16">
        <v>108649.08000000005</v>
      </c>
    </row>
    <row r="806" spans="2:15" ht="18.75" hidden="1" x14ac:dyDescent="0.25">
      <c r="B806" s="4" t="s">
        <v>74</v>
      </c>
      <c r="C806" s="5" t="s">
        <v>118</v>
      </c>
      <c r="D806" s="5" t="s">
        <v>68</v>
      </c>
      <c r="E806" s="5" t="s">
        <v>132</v>
      </c>
      <c r="F806" s="5" t="s">
        <v>63</v>
      </c>
      <c r="G806" s="14">
        <v>42282</v>
      </c>
      <c r="H806" s="5">
        <v>100731599</v>
      </c>
      <c r="I806" s="14">
        <v>42286</v>
      </c>
      <c r="J806" s="5">
        <v>7573</v>
      </c>
      <c r="K806" s="15">
        <v>109.28</v>
      </c>
      <c r="L806" s="15">
        <v>35.840000000000003</v>
      </c>
      <c r="M806" s="15">
        <v>827577.44000000006</v>
      </c>
      <c r="N806" s="15">
        <v>271416.32000000001</v>
      </c>
      <c r="O806" s="16">
        <v>556161.12000000011</v>
      </c>
    </row>
    <row r="807" spans="2:15" ht="18.75" hidden="1" x14ac:dyDescent="0.25">
      <c r="B807" s="4" t="s">
        <v>72</v>
      </c>
      <c r="C807" s="5" t="s">
        <v>229</v>
      </c>
      <c r="D807" s="5" t="s">
        <v>62</v>
      </c>
      <c r="E807" s="5" t="s">
        <v>132</v>
      </c>
      <c r="F807" s="5" t="s">
        <v>55</v>
      </c>
      <c r="G807" s="14">
        <v>43420</v>
      </c>
      <c r="H807" s="5">
        <v>100732028</v>
      </c>
      <c r="I807" s="14">
        <v>43420</v>
      </c>
      <c r="J807" s="5">
        <v>7700</v>
      </c>
      <c r="K807" s="15">
        <v>437.2</v>
      </c>
      <c r="L807" s="15">
        <v>263.33</v>
      </c>
      <c r="M807" s="15">
        <v>3366440</v>
      </c>
      <c r="N807" s="15">
        <v>2027640.9999999998</v>
      </c>
      <c r="O807" s="16">
        <v>1338799.0000000002</v>
      </c>
    </row>
    <row r="808" spans="2:15" ht="18.75" hidden="1" x14ac:dyDescent="0.25">
      <c r="B808" s="4" t="s">
        <v>81</v>
      </c>
      <c r="C808" s="5" t="s">
        <v>119</v>
      </c>
      <c r="D808" s="5" t="s">
        <v>53</v>
      </c>
      <c r="E808" s="5" t="s">
        <v>132</v>
      </c>
      <c r="F808" s="5" t="s">
        <v>70</v>
      </c>
      <c r="G808" s="14">
        <v>42873</v>
      </c>
      <c r="H808" s="5">
        <v>100733315</v>
      </c>
      <c r="I808" s="14">
        <v>42911</v>
      </c>
      <c r="J808" s="5">
        <v>8081</v>
      </c>
      <c r="K808" s="15">
        <v>9.33</v>
      </c>
      <c r="L808" s="15">
        <v>6.92</v>
      </c>
      <c r="M808" s="15">
        <v>75395.73</v>
      </c>
      <c r="N808" s="15">
        <v>55920.52</v>
      </c>
      <c r="O808" s="16">
        <v>19475.21</v>
      </c>
    </row>
    <row r="809" spans="2:15" ht="18.75" x14ac:dyDescent="0.25">
      <c r="B809" s="4" t="s">
        <v>60</v>
      </c>
      <c r="C809" s="5" t="s">
        <v>120</v>
      </c>
      <c r="D809" s="5" t="s">
        <v>80</v>
      </c>
      <c r="E809" s="5" t="s">
        <v>132</v>
      </c>
      <c r="F809" s="5" t="s">
        <v>59</v>
      </c>
      <c r="G809" s="14">
        <v>44010</v>
      </c>
      <c r="H809" s="5">
        <v>100733745</v>
      </c>
      <c r="I809" s="14">
        <v>44043</v>
      </c>
      <c r="J809" s="5">
        <v>8208</v>
      </c>
      <c r="K809" s="15">
        <v>668.27</v>
      </c>
      <c r="L809" s="15">
        <v>502.54</v>
      </c>
      <c r="M809" s="15">
        <v>5485160.1600000001</v>
      </c>
      <c r="N809" s="15">
        <v>4124848.3200000003</v>
      </c>
      <c r="O809" s="16">
        <v>1360311.8399999999</v>
      </c>
    </row>
    <row r="810" spans="2:15" ht="18.75" hidden="1" x14ac:dyDescent="0.25">
      <c r="B810" s="4" t="s">
        <v>81</v>
      </c>
      <c r="C810" s="5" t="s">
        <v>176</v>
      </c>
      <c r="D810" s="5" t="s">
        <v>65</v>
      </c>
      <c r="E810" s="5" t="s">
        <v>132</v>
      </c>
      <c r="F810" s="5" t="s">
        <v>63</v>
      </c>
      <c r="G810" s="14">
        <v>42326</v>
      </c>
      <c r="H810" s="5">
        <v>100734603</v>
      </c>
      <c r="I810" s="14">
        <v>42351</v>
      </c>
      <c r="J810" s="5">
        <v>8462</v>
      </c>
      <c r="K810" s="15">
        <v>651.21</v>
      </c>
      <c r="L810" s="15">
        <v>524.96</v>
      </c>
      <c r="M810" s="15">
        <v>5510539.0200000005</v>
      </c>
      <c r="N810" s="15">
        <v>4442211.5200000005</v>
      </c>
      <c r="O810" s="16">
        <v>1068327.5</v>
      </c>
    </row>
    <row r="811" spans="2:15" ht="18.75" hidden="1" x14ac:dyDescent="0.25">
      <c r="B811" s="4" t="s">
        <v>60</v>
      </c>
      <c r="C811" s="5" t="s">
        <v>61</v>
      </c>
      <c r="D811" s="5" t="s">
        <v>68</v>
      </c>
      <c r="E811" s="5" t="s">
        <v>132</v>
      </c>
      <c r="F811" s="5" t="s">
        <v>55</v>
      </c>
      <c r="G811" s="14">
        <v>43463</v>
      </c>
      <c r="H811" s="5">
        <v>100735032</v>
      </c>
      <c r="I811" s="14">
        <v>43483</v>
      </c>
      <c r="J811" s="5">
        <v>8589</v>
      </c>
      <c r="K811" s="15">
        <v>109.28</v>
      </c>
      <c r="L811" s="15">
        <v>35.840000000000003</v>
      </c>
      <c r="M811" s="15">
        <v>938605.92</v>
      </c>
      <c r="N811" s="15">
        <v>307829.76000000001</v>
      </c>
      <c r="O811" s="16">
        <v>630776.16</v>
      </c>
    </row>
    <row r="812" spans="2:15" ht="18.75" hidden="1" x14ac:dyDescent="0.25">
      <c r="B812" s="4" t="s">
        <v>74</v>
      </c>
      <c r="C812" s="5" t="s">
        <v>178</v>
      </c>
      <c r="D812" s="5" t="s">
        <v>78</v>
      </c>
      <c r="E812" s="5" t="s">
        <v>132</v>
      </c>
      <c r="F812" s="5" t="s">
        <v>70</v>
      </c>
      <c r="G812" s="14">
        <v>42916</v>
      </c>
      <c r="H812" s="5">
        <v>100736320</v>
      </c>
      <c r="I812" s="14">
        <v>42923</v>
      </c>
      <c r="J812" s="5">
        <v>8970</v>
      </c>
      <c r="K812" s="15">
        <v>47.45</v>
      </c>
      <c r="L812" s="15">
        <v>31.79</v>
      </c>
      <c r="M812" s="15">
        <v>425626.5</v>
      </c>
      <c r="N812" s="15">
        <v>285156.3</v>
      </c>
      <c r="O812" s="16">
        <v>140470.20000000001</v>
      </c>
    </row>
    <row r="813" spans="2:15" ht="18.75" hidden="1" x14ac:dyDescent="0.25">
      <c r="B813" s="4" t="s">
        <v>72</v>
      </c>
      <c r="C813" s="5" t="s">
        <v>245</v>
      </c>
      <c r="D813" s="5" t="s">
        <v>96</v>
      </c>
      <c r="E813" s="5" t="s">
        <v>132</v>
      </c>
      <c r="F813" s="5" t="s">
        <v>59</v>
      </c>
      <c r="G813" s="14">
        <v>44053</v>
      </c>
      <c r="H813" s="5">
        <v>100736749</v>
      </c>
      <c r="I813" s="14">
        <v>44056</v>
      </c>
      <c r="J813" s="5">
        <v>9097</v>
      </c>
      <c r="K813" s="15">
        <v>154.06</v>
      </c>
      <c r="L813" s="15">
        <v>90.93</v>
      </c>
      <c r="M813" s="15">
        <v>1401483.82</v>
      </c>
      <c r="N813" s="15">
        <v>827190.21000000008</v>
      </c>
      <c r="O813" s="16">
        <v>574293.61</v>
      </c>
    </row>
    <row r="814" spans="2:15" ht="18.75" hidden="1" x14ac:dyDescent="0.25">
      <c r="B814" s="4" t="s">
        <v>51</v>
      </c>
      <c r="C814" s="5" t="s">
        <v>64</v>
      </c>
      <c r="D814" s="5" t="s">
        <v>100</v>
      </c>
      <c r="E814" s="5" t="s">
        <v>132</v>
      </c>
      <c r="F814" s="5" t="s">
        <v>63</v>
      </c>
      <c r="G814" s="14">
        <v>42369</v>
      </c>
      <c r="H814" s="5">
        <v>100737607</v>
      </c>
      <c r="I814" s="14">
        <v>42414</v>
      </c>
      <c r="J814" s="5">
        <v>9351</v>
      </c>
      <c r="K814" s="15">
        <v>205.7</v>
      </c>
      <c r="L814" s="15">
        <v>117.11</v>
      </c>
      <c r="M814" s="15">
        <v>1923500.7</v>
      </c>
      <c r="N814" s="15">
        <v>1095095.6100000001</v>
      </c>
      <c r="O814" s="16">
        <v>828405.08999999985</v>
      </c>
    </row>
    <row r="815" spans="2:15" ht="18.75" hidden="1" x14ac:dyDescent="0.25">
      <c r="B815" s="4" t="s">
        <v>60</v>
      </c>
      <c r="C815" s="5" t="s">
        <v>69</v>
      </c>
      <c r="D815" s="5" t="s">
        <v>78</v>
      </c>
      <c r="E815" s="5" t="s">
        <v>132</v>
      </c>
      <c r="F815" s="5" t="s">
        <v>70</v>
      </c>
      <c r="G815" s="14">
        <v>44096</v>
      </c>
      <c r="H815" s="5">
        <v>100739753</v>
      </c>
      <c r="I815" s="14">
        <v>44119</v>
      </c>
      <c r="J815" s="5">
        <v>9986</v>
      </c>
      <c r="K815" s="15">
        <v>47.45</v>
      </c>
      <c r="L815" s="15">
        <v>31.79</v>
      </c>
      <c r="M815" s="15">
        <v>473835.7</v>
      </c>
      <c r="N815" s="15">
        <v>317454.94</v>
      </c>
      <c r="O815" s="16">
        <v>156380.76</v>
      </c>
    </row>
    <row r="816" spans="2:15" ht="18.75" hidden="1" x14ac:dyDescent="0.25">
      <c r="B816" s="4" t="s">
        <v>51</v>
      </c>
      <c r="C816" s="5" t="s">
        <v>128</v>
      </c>
      <c r="D816" s="5" t="s">
        <v>96</v>
      </c>
      <c r="E816" s="5" t="s">
        <v>132</v>
      </c>
      <c r="F816" s="5" t="s">
        <v>59</v>
      </c>
      <c r="G816" s="14">
        <v>41275</v>
      </c>
      <c r="H816" s="5">
        <v>100740182</v>
      </c>
      <c r="I816" s="14">
        <v>41294</v>
      </c>
      <c r="J816" s="5">
        <v>113</v>
      </c>
      <c r="K816" s="15">
        <v>154.06</v>
      </c>
      <c r="L816" s="15">
        <v>90.93</v>
      </c>
      <c r="M816" s="15">
        <v>17408.78</v>
      </c>
      <c r="N816" s="15">
        <v>10275.09</v>
      </c>
      <c r="O816" s="16">
        <v>7133.6899999999987</v>
      </c>
    </row>
    <row r="817" spans="2:15" ht="18.75" hidden="1" x14ac:dyDescent="0.25">
      <c r="B817" s="4" t="s">
        <v>81</v>
      </c>
      <c r="C817" s="5" t="s">
        <v>129</v>
      </c>
      <c r="D817" s="5" t="s">
        <v>80</v>
      </c>
      <c r="E817" s="5" t="s">
        <v>132</v>
      </c>
      <c r="F817" s="5" t="s">
        <v>63</v>
      </c>
      <c r="G817" s="14">
        <v>42412</v>
      </c>
      <c r="H817" s="5">
        <v>100740611</v>
      </c>
      <c r="I817" s="14">
        <v>42427</v>
      </c>
      <c r="J817" s="5">
        <v>240</v>
      </c>
      <c r="K817" s="15">
        <v>668.27</v>
      </c>
      <c r="L817" s="15">
        <v>502.54</v>
      </c>
      <c r="M817" s="15">
        <v>160384.79999999999</v>
      </c>
      <c r="N817" s="15">
        <v>120609.60000000001</v>
      </c>
      <c r="O817" s="16">
        <v>39775.199999999983</v>
      </c>
    </row>
    <row r="818" spans="2:15" ht="18.75" hidden="1" x14ac:dyDescent="0.25">
      <c r="B818" s="4" t="s">
        <v>60</v>
      </c>
      <c r="C818" s="5" t="s">
        <v>130</v>
      </c>
      <c r="D818" s="5" t="s">
        <v>100</v>
      </c>
      <c r="E818" s="5" t="s">
        <v>132</v>
      </c>
      <c r="F818" s="5" t="s">
        <v>63</v>
      </c>
      <c r="G818" s="14">
        <v>43549</v>
      </c>
      <c r="H818" s="5">
        <v>100741040</v>
      </c>
      <c r="I818" s="14">
        <v>43559</v>
      </c>
      <c r="J818" s="5">
        <v>367</v>
      </c>
      <c r="K818" s="15">
        <v>205.7</v>
      </c>
      <c r="L818" s="15">
        <v>117.11</v>
      </c>
      <c r="M818" s="15">
        <v>75491.899999999994</v>
      </c>
      <c r="N818" s="15">
        <v>42979.37</v>
      </c>
      <c r="O818" s="16">
        <v>32512.529999999992</v>
      </c>
    </row>
    <row r="819" spans="2:15" ht="18.75" hidden="1" x14ac:dyDescent="0.25">
      <c r="B819" s="4" t="s">
        <v>72</v>
      </c>
      <c r="C819" s="5" t="s">
        <v>73</v>
      </c>
      <c r="D819" s="5" t="s">
        <v>65</v>
      </c>
      <c r="E819" s="5" t="s">
        <v>132</v>
      </c>
      <c r="F819" s="5" t="s">
        <v>55</v>
      </c>
      <c r="G819" s="14">
        <v>40728</v>
      </c>
      <c r="H819" s="5">
        <v>100741469</v>
      </c>
      <c r="I819" s="14">
        <v>40734</v>
      </c>
      <c r="J819" s="5">
        <v>494</v>
      </c>
      <c r="K819" s="15">
        <v>651.21</v>
      </c>
      <c r="L819" s="15">
        <v>524.96</v>
      </c>
      <c r="M819" s="15">
        <v>321697.74</v>
      </c>
      <c r="N819" s="15">
        <v>259330.24000000002</v>
      </c>
      <c r="O819" s="16">
        <v>62367.499999999971</v>
      </c>
    </row>
    <row r="820" spans="2:15" ht="18.75" hidden="1" x14ac:dyDescent="0.25">
      <c r="B820" s="4" t="s">
        <v>81</v>
      </c>
      <c r="C820" s="5" t="s">
        <v>181</v>
      </c>
      <c r="D820" s="5" t="s">
        <v>88</v>
      </c>
      <c r="E820" s="5" t="s">
        <v>132</v>
      </c>
      <c r="F820" s="5" t="s">
        <v>55</v>
      </c>
      <c r="G820" s="14">
        <v>41865</v>
      </c>
      <c r="H820" s="5">
        <v>100741899</v>
      </c>
      <c r="I820" s="14">
        <v>41867</v>
      </c>
      <c r="J820" s="5">
        <v>621</v>
      </c>
      <c r="K820" s="15">
        <v>152.58000000000001</v>
      </c>
      <c r="L820" s="15">
        <v>97.44</v>
      </c>
      <c r="M820" s="15">
        <v>94752.180000000008</v>
      </c>
      <c r="N820" s="15">
        <v>60510.239999999998</v>
      </c>
      <c r="O820" s="16">
        <v>34241.94000000001</v>
      </c>
    </row>
    <row r="821" spans="2:15" ht="18.75" hidden="1" x14ac:dyDescent="0.25">
      <c r="B821" s="4" t="s">
        <v>72</v>
      </c>
      <c r="C821" s="5" t="s">
        <v>134</v>
      </c>
      <c r="D821" s="5" t="s">
        <v>93</v>
      </c>
      <c r="E821" s="5" t="s">
        <v>132</v>
      </c>
      <c r="F821" s="5" t="s">
        <v>70</v>
      </c>
      <c r="G821" s="14">
        <v>40181</v>
      </c>
      <c r="H821" s="5">
        <v>100742757</v>
      </c>
      <c r="I821" s="14">
        <v>40225</v>
      </c>
      <c r="J821" s="5">
        <v>875</v>
      </c>
      <c r="K821" s="15">
        <v>81.73</v>
      </c>
      <c r="L821" s="15">
        <v>56.67</v>
      </c>
      <c r="M821" s="15">
        <v>71513.75</v>
      </c>
      <c r="N821" s="15">
        <v>49586.25</v>
      </c>
      <c r="O821" s="16">
        <v>21927.5</v>
      </c>
    </row>
    <row r="822" spans="2:15" ht="18.75" hidden="1" x14ac:dyDescent="0.25">
      <c r="B822" s="4" t="s">
        <v>56</v>
      </c>
      <c r="C822" s="5" t="s">
        <v>183</v>
      </c>
      <c r="D822" s="5" t="s">
        <v>78</v>
      </c>
      <c r="E822" s="5" t="s">
        <v>132</v>
      </c>
      <c r="F822" s="5" t="s">
        <v>59</v>
      </c>
      <c r="G822" s="14">
        <v>41318</v>
      </c>
      <c r="H822" s="5">
        <v>100743186</v>
      </c>
      <c r="I822" s="14">
        <v>41358</v>
      </c>
      <c r="J822" s="5">
        <v>1002</v>
      </c>
      <c r="K822" s="15">
        <v>47.45</v>
      </c>
      <c r="L822" s="15">
        <v>31.79</v>
      </c>
      <c r="M822" s="15">
        <v>47544.9</v>
      </c>
      <c r="N822" s="15">
        <v>31853.579999999998</v>
      </c>
      <c r="O822" s="16">
        <v>15691.320000000003</v>
      </c>
    </row>
    <row r="823" spans="2:15" ht="18.75" hidden="1" x14ac:dyDescent="0.25">
      <c r="B823" s="4" t="s">
        <v>51</v>
      </c>
      <c r="C823" s="5" t="s">
        <v>79</v>
      </c>
      <c r="D823" s="5" t="s">
        <v>96</v>
      </c>
      <c r="E823" s="5" t="s">
        <v>132</v>
      </c>
      <c r="F823" s="5" t="s">
        <v>59</v>
      </c>
      <c r="G823" s="14">
        <v>42455</v>
      </c>
      <c r="H823" s="5">
        <v>100743615</v>
      </c>
      <c r="I823" s="14">
        <v>42490</v>
      </c>
      <c r="J823" s="5">
        <v>1129</v>
      </c>
      <c r="K823" s="15">
        <v>154.06</v>
      </c>
      <c r="L823" s="15">
        <v>90.93</v>
      </c>
      <c r="M823" s="15">
        <v>173933.74</v>
      </c>
      <c r="N823" s="15">
        <v>102659.97</v>
      </c>
      <c r="O823" s="16">
        <v>71273.76999999999</v>
      </c>
    </row>
    <row r="824" spans="2:15" ht="18.75" hidden="1" x14ac:dyDescent="0.25">
      <c r="B824" s="4" t="s">
        <v>81</v>
      </c>
      <c r="C824" s="5" t="s">
        <v>82</v>
      </c>
      <c r="D824" s="5" t="s">
        <v>80</v>
      </c>
      <c r="E824" s="5" t="s">
        <v>132</v>
      </c>
      <c r="F824" s="5" t="s">
        <v>63</v>
      </c>
      <c r="G824" s="14">
        <v>43592</v>
      </c>
      <c r="H824" s="5">
        <v>100744044</v>
      </c>
      <c r="I824" s="14">
        <v>43623</v>
      </c>
      <c r="J824" s="5">
        <v>1256</v>
      </c>
      <c r="K824" s="15">
        <v>668.27</v>
      </c>
      <c r="L824" s="15">
        <v>502.54</v>
      </c>
      <c r="M824" s="15">
        <v>839347.12</v>
      </c>
      <c r="N824" s="15">
        <v>631190.24</v>
      </c>
      <c r="O824" s="16">
        <v>208156.88</v>
      </c>
    </row>
    <row r="825" spans="2:15" ht="18.75" hidden="1" x14ac:dyDescent="0.25">
      <c r="B825" s="4" t="s">
        <v>60</v>
      </c>
      <c r="C825" s="5" t="s">
        <v>232</v>
      </c>
      <c r="D825" s="5" t="s">
        <v>100</v>
      </c>
      <c r="E825" s="5" t="s">
        <v>132</v>
      </c>
      <c r="F825" s="5" t="s">
        <v>63</v>
      </c>
      <c r="G825" s="14">
        <v>40771</v>
      </c>
      <c r="H825" s="5">
        <v>100744473</v>
      </c>
      <c r="I825" s="14">
        <v>40797</v>
      </c>
      <c r="J825" s="5">
        <v>1383</v>
      </c>
      <c r="K825" s="15">
        <v>205.7</v>
      </c>
      <c r="L825" s="15">
        <v>117.11</v>
      </c>
      <c r="M825" s="15">
        <v>284483.09999999998</v>
      </c>
      <c r="N825" s="15">
        <v>161963.13</v>
      </c>
      <c r="O825" s="16">
        <v>122519.96999999997</v>
      </c>
    </row>
    <row r="826" spans="2:15" ht="18.75" hidden="1" x14ac:dyDescent="0.25">
      <c r="B826" s="4" t="s">
        <v>51</v>
      </c>
      <c r="C826" s="5" t="s">
        <v>83</v>
      </c>
      <c r="D826" s="5" t="s">
        <v>65</v>
      </c>
      <c r="E826" s="5" t="s">
        <v>132</v>
      </c>
      <c r="F826" s="5" t="s">
        <v>55</v>
      </c>
      <c r="G826" s="14">
        <v>41908</v>
      </c>
      <c r="H826" s="5">
        <v>100744903</v>
      </c>
      <c r="I826" s="14">
        <v>41930</v>
      </c>
      <c r="J826" s="5">
        <v>1510</v>
      </c>
      <c r="K826" s="15">
        <v>651.21</v>
      </c>
      <c r="L826" s="15">
        <v>524.96</v>
      </c>
      <c r="M826" s="15">
        <v>983327.10000000009</v>
      </c>
      <c r="N826" s="15">
        <v>792689.60000000009</v>
      </c>
      <c r="O826" s="16">
        <v>190637.5</v>
      </c>
    </row>
    <row r="827" spans="2:15" ht="18.75" hidden="1" x14ac:dyDescent="0.25">
      <c r="B827" s="4" t="s">
        <v>60</v>
      </c>
      <c r="C827" s="5" t="s">
        <v>139</v>
      </c>
      <c r="D827" s="5" t="s">
        <v>62</v>
      </c>
      <c r="E827" s="5" t="s">
        <v>132</v>
      </c>
      <c r="F827" s="5" t="s">
        <v>70</v>
      </c>
      <c r="G827" s="14">
        <v>40224</v>
      </c>
      <c r="H827" s="5">
        <v>100745761</v>
      </c>
      <c r="I827" s="14">
        <v>40237</v>
      </c>
      <c r="J827" s="5">
        <v>1764</v>
      </c>
      <c r="K827" s="15">
        <v>437.2</v>
      </c>
      <c r="L827" s="15">
        <v>263.33</v>
      </c>
      <c r="M827" s="15">
        <v>771220.79999999993</v>
      </c>
      <c r="N827" s="15">
        <v>464514.12</v>
      </c>
      <c r="O827" s="16">
        <v>306706.67999999993</v>
      </c>
    </row>
    <row r="828" spans="2:15" ht="18.75" hidden="1" x14ac:dyDescent="0.25">
      <c r="B828" s="4" t="s">
        <v>74</v>
      </c>
      <c r="C828" s="5" t="s">
        <v>185</v>
      </c>
      <c r="D828" s="5" t="s">
        <v>96</v>
      </c>
      <c r="E828" s="5" t="s">
        <v>132</v>
      </c>
      <c r="F828" s="5" t="s">
        <v>63</v>
      </c>
      <c r="G828" s="14">
        <v>43636</v>
      </c>
      <c r="H828" s="5">
        <v>100747048</v>
      </c>
      <c r="I828" s="14">
        <v>43636</v>
      </c>
      <c r="J828" s="5">
        <v>2145</v>
      </c>
      <c r="K828" s="15">
        <v>154.06</v>
      </c>
      <c r="L828" s="15">
        <v>90.93</v>
      </c>
      <c r="M828" s="15">
        <v>330458.7</v>
      </c>
      <c r="N828" s="15">
        <v>195044.85</v>
      </c>
      <c r="O828" s="16">
        <v>135413.85</v>
      </c>
    </row>
    <row r="829" spans="2:15" ht="18.75" hidden="1" x14ac:dyDescent="0.25">
      <c r="B829" s="4" t="s">
        <v>81</v>
      </c>
      <c r="C829" s="5" t="s">
        <v>89</v>
      </c>
      <c r="D829" s="5" t="s">
        <v>88</v>
      </c>
      <c r="E829" s="5" t="s">
        <v>132</v>
      </c>
      <c r="F829" s="5" t="s">
        <v>70</v>
      </c>
      <c r="G829" s="14">
        <v>40267</v>
      </c>
      <c r="H829" s="5">
        <v>100748765</v>
      </c>
      <c r="I829" s="14">
        <v>40301</v>
      </c>
      <c r="J829" s="5">
        <v>2653</v>
      </c>
      <c r="K829" s="15">
        <v>152.58000000000001</v>
      </c>
      <c r="L829" s="15">
        <v>97.44</v>
      </c>
      <c r="M829" s="15">
        <v>404794.74000000005</v>
      </c>
      <c r="N829" s="15">
        <v>258508.32</v>
      </c>
      <c r="O829" s="16">
        <v>146286.42000000004</v>
      </c>
    </row>
    <row r="830" spans="2:15" ht="18.75" hidden="1" x14ac:dyDescent="0.25">
      <c r="B830" s="4" t="s">
        <v>56</v>
      </c>
      <c r="C830" s="5" t="s">
        <v>143</v>
      </c>
      <c r="D830" s="5" t="s">
        <v>62</v>
      </c>
      <c r="E830" s="5" t="s">
        <v>132</v>
      </c>
      <c r="F830" s="5" t="s">
        <v>70</v>
      </c>
      <c r="G830" s="14">
        <v>41404</v>
      </c>
      <c r="H830" s="5">
        <v>100749194</v>
      </c>
      <c r="I830" s="14">
        <v>41434</v>
      </c>
      <c r="J830" s="5">
        <v>2780</v>
      </c>
      <c r="K830" s="15">
        <v>437.2</v>
      </c>
      <c r="L830" s="15">
        <v>263.33</v>
      </c>
      <c r="M830" s="15">
        <v>1215416</v>
      </c>
      <c r="N830" s="15">
        <v>732057.39999999991</v>
      </c>
      <c r="O830" s="16">
        <v>483358.60000000009</v>
      </c>
    </row>
    <row r="831" spans="2:15" ht="18.75" hidden="1" x14ac:dyDescent="0.25">
      <c r="B831" s="4" t="s">
        <v>51</v>
      </c>
      <c r="C831" s="5" t="s">
        <v>144</v>
      </c>
      <c r="D831" s="5" t="s">
        <v>93</v>
      </c>
      <c r="E831" s="5" t="s">
        <v>132</v>
      </c>
      <c r="F831" s="5" t="s">
        <v>59</v>
      </c>
      <c r="G831" s="14">
        <v>42541</v>
      </c>
      <c r="H831" s="5">
        <v>100749623</v>
      </c>
      <c r="I831" s="14">
        <v>42566</v>
      </c>
      <c r="J831" s="5">
        <v>2907</v>
      </c>
      <c r="K831" s="15">
        <v>81.73</v>
      </c>
      <c r="L831" s="15">
        <v>56.67</v>
      </c>
      <c r="M831" s="15">
        <v>237589.11000000002</v>
      </c>
      <c r="N831" s="15">
        <v>164739.69</v>
      </c>
      <c r="O831" s="16">
        <v>72849.420000000013</v>
      </c>
    </row>
    <row r="832" spans="2:15" ht="18.75" hidden="1" x14ac:dyDescent="0.25">
      <c r="B832" s="4" t="s">
        <v>81</v>
      </c>
      <c r="C832" s="5" t="s">
        <v>187</v>
      </c>
      <c r="D832" s="5" t="s">
        <v>78</v>
      </c>
      <c r="E832" s="5" t="s">
        <v>132</v>
      </c>
      <c r="F832" s="5" t="s">
        <v>63</v>
      </c>
      <c r="G832" s="14">
        <v>43679</v>
      </c>
      <c r="H832" s="5">
        <v>100750052</v>
      </c>
      <c r="I832" s="14">
        <v>43700</v>
      </c>
      <c r="J832" s="5">
        <v>3034</v>
      </c>
      <c r="K832" s="15">
        <v>47.45</v>
      </c>
      <c r="L832" s="15">
        <v>31.79</v>
      </c>
      <c r="M832" s="15">
        <v>143963.30000000002</v>
      </c>
      <c r="N832" s="15">
        <v>96450.86</v>
      </c>
      <c r="O832" s="16">
        <v>47512.440000000017</v>
      </c>
    </row>
    <row r="833" spans="2:15" ht="18.75" hidden="1" x14ac:dyDescent="0.25">
      <c r="B833" s="4" t="s">
        <v>51</v>
      </c>
      <c r="C833" s="5" t="s">
        <v>205</v>
      </c>
      <c r="D833" s="5" t="s">
        <v>80</v>
      </c>
      <c r="E833" s="5" t="s">
        <v>132</v>
      </c>
      <c r="F833" s="5" t="s">
        <v>55</v>
      </c>
      <c r="G833" s="14">
        <v>41994</v>
      </c>
      <c r="H833" s="5">
        <v>100750911</v>
      </c>
      <c r="I833" s="14">
        <v>42006</v>
      </c>
      <c r="J833" s="5">
        <v>3288</v>
      </c>
      <c r="K833" s="15">
        <v>668.27</v>
      </c>
      <c r="L833" s="15">
        <v>502.54</v>
      </c>
      <c r="M833" s="15">
        <v>2197271.7599999998</v>
      </c>
      <c r="N833" s="15">
        <v>1652351.52</v>
      </c>
      <c r="O833" s="16">
        <v>544920.23999999976</v>
      </c>
    </row>
    <row r="834" spans="2:15" ht="18.75" hidden="1" x14ac:dyDescent="0.25">
      <c r="B834" s="4" t="s">
        <v>66</v>
      </c>
      <c r="C834" s="5" t="s">
        <v>206</v>
      </c>
      <c r="D834" s="5" t="s">
        <v>78</v>
      </c>
      <c r="E834" s="5" t="s">
        <v>132</v>
      </c>
      <c r="F834" s="5" t="s">
        <v>63</v>
      </c>
      <c r="G834" s="14">
        <v>40900</v>
      </c>
      <c r="H834" s="5">
        <v>100753486</v>
      </c>
      <c r="I834" s="14">
        <v>40937</v>
      </c>
      <c r="J834" s="5">
        <v>4050</v>
      </c>
      <c r="K834" s="15">
        <v>47.45</v>
      </c>
      <c r="L834" s="15">
        <v>31.79</v>
      </c>
      <c r="M834" s="15">
        <v>192172.5</v>
      </c>
      <c r="N834" s="15">
        <v>128749.5</v>
      </c>
      <c r="O834" s="16">
        <v>63423</v>
      </c>
    </row>
    <row r="835" spans="2:15" ht="18.75" hidden="1" x14ac:dyDescent="0.25">
      <c r="B835" s="4" t="s">
        <v>56</v>
      </c>
      <c r="C835" s="5" t="s">
        <v>97</v>
      </c>
      <c r="D835" s="5" t="s">
        <v>96</v>
      </c>
      <c r="E835" s="5" t="s">
        <v>132</v>
      </c>
      <c r="F835" s="5" t="s">
        <v>63</v>
      </c>
      <c r="G835" s="14">
        <v>42038</v>
      </c>
      <c r="H835" s="5">
        <v>100753915</v>
      </c>
      <c r="I835" s="14">
        <v>42071</v>
      </c>
      <c r="J835" s="5">
        <v>4177</v>
      </c>
      <c r="K835" s="15">
        <v>154.06</v>
      </c>
      <c r="L835" s="15">
        <v>90.93</v>
      </c>
      <c r="M835" s="15">
        <v>643508.62</v>
      </c>
      <c r="N835" s="15">
        <v>379814.61000000004</v>
      </c>
      <c r="O835" s="16">
        <v>263694.00999999995</v>
      </c>
    </row>
    <row r="836" spans="2:15" ht="18.75" hidden="1" x14ac:dyDescent="0.25">
      <c r="B836" s="4" t="s">
        <v>51</v>
      </c>
      <c r="C836" s="5" t="s">
        <v>189</v>
      </c>
      <c r="D836" s="5" t="s">
        <v>80</v>
      </c>
      <c r="E836" s="5" t="s">
        <v>132</v>
      </c>
      <c r="F836" s="5" t="s">
        <v>55</v>
      </c>
      <c r="G836" s="14">
        <v>43175</v>
      </c>
      <c r="H836" s="5">
        <v>100754344</v>
      </c>
      <c r="I836" s="14">
        <v>43203</v>
      </c>
      <c r="J836" s="5">
        <v>4304</v>
      </c>
      <c r="K836" s="15">
        <v>668.27</v>
      </c>
      <c r="L836" s="15">
        <v>502.54</v>
      </c>
      <c r="M836" s="15">
        <v>2876234.08</v>
      </c>
      <c r="N836" s="15">
        <v>2162932.16</v>
      </c>
      <c r="O836" s="16">
        <v>713301.91999999993</v>
      </c>
    </row>
    <row r="837" spans="2:15" ht="18.75" hidden="1" x14ac:dyDescent="0.25">
      <c r="B837" s="4" t="s">
        <v>60</v>
      </c>
      <c r="C837" s="5" t="s">
        <v>248</v>
      </c>
      <c r="D837" s="5" t="s">
        <v>65</v>
      </c>
      <c r="E837" s="5" t="s">
        <v>132</v>
      </c>
      <c r="F837" s="5" t="s">
        <v>70</v>
      </c>
      <c r="G837" s="14">
        <v>41491</v>
      </c>
      <c r="H837" s="5">
        <v>100755202</v>
      </c>
      <c r="I837" s="14">
        <v>41511</v>
      </c>
      <c r="J837" s="5">
        <v>4558</v>
      </c>
      <c r="K837" s="15">
        <v>651.21</v>
      </c>
      <c r="L837" s="15">
        <v>524.96</v>
      </c>
      <c r="M837" s="15">
        <v>2968215.18</v>
      </c>
      <c r="N837" s="15">
        <v>2392767.6800000002</v>
      </c>
      <c r="O837" s="16">
        <v>575447.5</v>
      </c>
    </row>
    <row r="838" spans="2:15" ht="18.75" hidden="1" x14ac:dyDescent="0.25">
      <c r="B838" s="4" t="s">
        <v>51</v>
      </c>
      <c r="C838" s="5" t="s">
        <v>191</v>
      </c>
      <c r="D838" s="5" t="s">
        <v>88</v>
      </c>
      <c r="E838" s="5" t="s">
        <v>132</v>
      </c>
      <c r="F838" s="5" t="s">
        <v>59</v>
      </c>
      <c r="G838" s="14">
        <v>42628</v>
      </c>
      <c r="H838" s="5">
        <v>100755631</v>
      </c>
      <c r="I838" s="14">
        <v>42643</v>
      </c>
      <c r="J838" s="5">
        <v>4685</v>
      </c>
      <c r="K838" s="15">
        <v>152.58000000000001</v>
      </c>
      <c r="L838" s="15">
        <v>97.44</v>
      </c>
      <c r="M838" s="15">
        <v>714837.3</v>
      </c>
      <c r="N838" s="15">
        <v>456506.39999999997</v>
      </c>
      <c r="O838" s="16">
        <v>258330.90000000008</v>
      </c>
    </row>
    <row r="839" spans="2:15" ht="18.75" hidden="1" x14ac:dyDescent="0.25">
      <c r="B839" s="4" t="s">
        <v>81</v>
      </c>
      <c r="C839" s="5" t="s">
        <v>192</v>
      </c>
      <c r="D839" s="5" t="s">
        <v>62</v>
      </c>
      <c r="E839" s="5" t="s">
        <v>132</v>
      </c>
      <c r="F839" s="5" t="s">
        <v>59</v>
      </c>
      <c r="G839" s="14">
        <v>43765</v>
      </c>
      <c r="H839" s="5">
        <v>100756061</v>
      </c>
      <c r="I839" s="14">
        <v>43776</v>
      </c>
      <c r="J839" s="5">
        <v>4812</v>
      </c>
      <c r="K839" s="15">
        <v>437.2</v>
      </c>
      <c r="L839" s="15">
        <v>263.33</v>
      </c>
      <c r="M839" s="15">
        <v>2103806.4</v>
      </c>
      <c r="N839" s="15">
        <v>1267143.96</v>
      </c>
      <c r="O839" s="16">
        <v>836662.44</v>
      </c>
    </row>
    <row r="840" spans="2:15" ht="18.75" hidden="1" x14ac:dyDescent="0.25">
      <c r="B840" s="4" t="s">
        <v>72</v>
      </c>
      <c r="C840" s="5" t="s">
        <v>209</v>
      </c>
      <c r="D840" s="5" t="s">
        <v>58</v>
      </c>
      <c r="E840" s="5" t="s">
        <v>132</v>
      </c>
      <c r="F840" s="5" t="s">
        <v>63</v>
      </c>
      <c r="G840" s="14">
        <v>42081</v>
      </c>
      <c r="H840" s="5">
        <v>100756919</v>
      </c>
      <c r="I840" s="14">
        <v>42083</v>
      </c>
      <c r="J840" s="5">
        <v>5066</v>
      </c>
      <c r="K840" s="15">
        <v>255.28</v>
      </c>
      <c r="L840" s="15">
        <v>159.41999999999999</v>
      </c>
      <c r="M840" s="15">
        <v>1293248.48</v>
      </c>
      <c r="N840" s="15">
        <v>807621.72</v>
      </c>
      <c r="O840" s="16">
        <v>485626.76</v>
      </c>
    </row>
    <row r="841" spans="2:15" ht="18.75" hidden="1" x14ac:dyDescent="0.25">
      <c r="B841" s="4" t="s">
        <v>81</v>
      </c>
      <c r="C841" s="5" t="s">
        <v>259</v>
      </c>
      <c r="D841" s="5" t="s">
        <v>96</v>
      </c>
      <c r="E841" s="5" t="s">
        <v>132</v>
      </c>
      <c r="F841" s="5" t="s">
        <v>55</v>
      </c>
      <c r="G841" s="14">
        <v>43218</v>
      </c>
      <c r="H841" s="5">
        <v>100757348</v>
      </c>
      <c r="I841" s="14">
        <v>43267</v>
      </c>
      <c r="J841" s="5">
        <v>5193</v>
      </c>
      <c r="K841" s="15">
        <v>154.06</v>
      </c>
      <c r="L841" s="15">
        <v>90.93</v>
      </c>
      <c r="M841" s="15">
        <v>800033.58</v>
      </c>
      <c r="N841" s="15">
        <v>472199.49000000005</v>
      </c>
      <c r="O841" s="16">
        <v>327834.08999999991</v>
      </c>
    </row>
    <row r="842" spans="2:15" ht="18.75" hidden="1" x14ac:dyDescent="0.25">
      <c r="B842" s="4" t="s">
        <v>72</v>
      </c>
      <c r="C842" s="5" t="s">
        <v>101</v>
      </c>
      <c r="D842" s="5" t="s">
        <v>100</v>
      </c>
      <c r="E842" s="5" t="s">
        <v>132</v>
      </c>
      <c r="F842" s="5" t="s">
        <v>70</v>
      </c>
      <c r="G842" s="14">
        <v>41534</v>
      </c>
      <c r="H842" s="5">
        <v>100758206</v>
      </c>
      <c r="I842" s="14">
        <v>41574</v>
      </c>
      <c r="J842" s="5">
        <v>5447</v>
      </c>
      <c r="K842" s="15">
        <v>205.7</v>
      </c>
      <c r="L842" s="15">
        <v>117.11</v>
      </c>
      <c r="M842" s="15">
        <v>1120447.8999999999</v>
      </c>
      <c r="N842" s="15">
        <v>637898.17000000004</v>
      </c>
      <c r="O842" s="16">
        <v>482549.72999999986</v>
      </c>
    </row>
    <row r="843" spans="2:15" ht="18.75" hidden="1" x14ac:dyDescent="0.25">
      <c r="B843" s="4" t="s">
        <v>51</v>
      </c>
      <c r="C843" s="5" t="s">
        <v>227</v>
      </c>
      <c r="D843" s="5" t="s">
        <v>88</v>
      </c>
      <c r="E843" s="5" t="s">
        <v>132</v>
      </c>
      <c r="F843" s="5" t="s">
        <v>59</v>
      </c>
      <c r="G843" s="14">
        <v>43808</v>
      </c>
      <c r="H843" s="5">
        <v>100759065</v>
      </c>
      <c r="I843" s="14">
        <v>43839</v>
      </c>
      <c r="J843" s="5">
        <v>5701</v>
      </c>
      <c r="K843" s="15">
        <v>152.58000000000001</v>
      </c>
      <c r="L843" s="15">
        <v>97.44</v>
      </c>
      <c r="M843" s="15">
        <v>869858.58000000007</v>
      </c>
      <c r="N843" s="15">
        <v>555505.43999999994</v>
      </c>
      <c r="O843" s="16">
        <v>314353.14000000013</v>
      </c>
    </row>
    <row r="844" spans="2:15" ht="18.75" hidden="1" x14ac:dyDescent="0.25">
      <c r="B844" s="4" t="s">
        <v>81</v>
      </c>
      <c r="C844" s="5" t="s">
        <v>102</v>
      </c>
      <c r="D844" s="5" t="s">
        <v>53</v>
      </c>
      <c r="E844" s="5" t="s">
        <v>132</v>
      </c>
      <c r="F844" s="5" t="s">
        <v>63</v>
      </c>
      <c r="G844" s="14">
        <v>40987</v>
      </c>
      <c r="H844" s="5">
        <v>100759494</v>
      </c>
      <c r="I844" s="14">
        <v>41014</v>
      </c>
      <c r="J844" s="5">
        <v>5828</v>
      </c>
      <c r="K844" s="15">
        <v>9.33</v>
      </c>
      <c r="L844" s="15">
        <v>6.92</v>
      </c>
      <c r="M844" s="15">
        <v>54375.24</v>
      </c>
      <c r="N844" s="15">
        <v>40329.760000000002</v>
      </c>
      <c r="O844" s="16">
        <v>14045.479999999996</v>
      </c>
    </row>
    <row r="845" spans="2:15" ht="18.75" hidden="1" x14ac:dyDescent="0.25">
      <c r="B845" s="4" t="s">
        <v>51</v>
      </c>
      <c r="C845" s="5" t="s">
        <v>195</v>
      </c>
      <c r="D845" s="5" t="s">
        <v>100</v>
      </c>
      <c r="E845" s="5" t="s">
        <v>132</v>
      </c>
      <c r="F845" s="5" t="s">
        <v>70</v>
      </c>
      <c r="G845" s="14">
        <v>42714</v>
      </c>
      <c r="H845" s="5">
        <v>100761640</v>
      </c>
      <c r="I845" s="14">
        <v>42719</v>
      </c>
      <c r="J845" s="5">
        <v>6463</v>
      </c>
      <c r="K845" s="15">
        <v>205.7</v>
      </c>
      <c r="L845" s="15">
        <v>117.11</v>
      </c>
      <c r="M845" s="15">
        <v>1329439.0999999999</v>
      </c>
      <c r="N845" s="15">
        <v>756881.93</v>
      </c>
      <c r="O845" s="16">
        <v>572557.16999999981</v>
      </c>
    </row>
    <row r="846" spans="2:15" ht="18.75" hidden="1" x14ac:dyDescent="0.25">
      <c r="B846" s="4" t="s">
        <v>51</v>
      </c>
      <c r="C846" s="5" t="s">
        <v>236</v>
      </c>
      <c r="D846" s="5" t="s">
        <v>58</v>
      </c>
      <c r="E846" s="5" t="s">
        <v>132</v>
      </c>
      <c r="F846" s="5" t="s">
        <v>55</v>
      </c>
      <c r="G846" s="14">
        <v>40483</v>
      </c>
      <c r="H846" s="5">
        <v>100763785</v>
      </c>
      <c r="I846" s="14">
        <v>40517</v>
      </c>
      <c r="J846" s="5">
        <v>7098</v>
      </c>
      <c r="K846" s="15">
        <v>255.28</v>
      </c>
      <c r="L846" s="15">
        <v>159.41999999999999</v>
      </c>
      <c r="M846" s="15">
        <v>1811977.44</v>
      </c>
      <c r="N846" s="15">
        <v>1131563.1599999999</v>
      </c>
      <c r="O846" s="16">
        <v>680414.28</v>
      </c>
    </row>
    <row r="847" spans="2:15" ht="18.75" hidden="1" x14ac:dyDescent="0.25">
      <c r="B847" s="4" t="s">
        <v>81</v>
      </c>
      <c r="C847" s="5" t="s">
        <v>157</v>
      </c>
      <c r="D847" s="5" t="s">
        <v>76</v>
      </c>
      <c r="E847" s="5" t="s">
        <v>132</v>
      </c>
      <c r="F847" s="5" t="s">
        <v>59</v>
      </c>
      <c r="G847" s="14">
        <v>41073</v>
      </c>
      <c r="H847" s="5">
        <v>100765502</v>
      </c>
      <c r="I847" s="14">
        <v>41090</v>
      </c>
      <c r="J847" s="5">
        <v>7606</v>
      </c>
      <c r="K847" s="15">
        <v>421.89</v>
      </c>
      <c r="L847" s="15">
        <v>364.69</v>
      </c>
      <c r="M847" s="15">
        <v>3208895.34</v>
      </c>
      <c r="N847" s="15">
        <v>2773832.14</v>
      </c>
      <c r="O847" s="16">
        <v>435063.19999999972</v>
      </c>
    </row>
    <row r="848" spans="2:15" ht="18.75" hidden="1" x14ac:dyDescent="0.25">
      <c r="B848" s="4" t="s">
        <v>51</v>
      </c>
      <c r="C848" s="5" t="s">
        <v>244</v>
      </c>
      <c r="D848" s="5" t="s">
        <v>53</v>
      </c>
      <c r="E848" s="5" t="s">
        <v>132</v>
      </c>
      <c r="F848" s="5" t="s">
        <v>63</v>
      </c>
      <c r="G848" s="14">
        <v>43348</v>
      </c>
      <c r="H848" s="5">
        <v>100766360</v>
      </c>
      <c r="I848" s="14">
        <v>43356</v>
      </c>
      <c r="J848" s="5">
        <v>7860</v>
      </c>
      <c r="K848" s="15">
        <v>9.33</v>
      </c>
      <c r="L848" s="15">
        <v>6.92</v>
      </c>
      <c r="M848" s="15">
        <v>73333.8</v>
      </c>
      <c r="N848" s="15">
        <v>54391.199999999997</v>
      </c>
      <c r="O848" s="16">
        <v>18942.600000000006</v>
      </c>
    </row>
    <row r="849" spans="2:15" ht="18.75" hidden="1" x14ac:dyDescent="0.25">
      <c r="B849" s="4" t="s">
        <v>81</v>
      </c>
      <c r="C849" s="5" t="s">
        <v>108</v>
      </c>
      <c r="D849" s="5" t="s">
        <v>93</v>
      </c>
      <c r="E849" s="5" t="s">
        <v>132</v>
      </c>
      <c r="F849" s="5" t="s">
        <v>55</v>
      </c>
      <c r="G849" s="14">
        <v>40526</v>
      </c>
      <c r="H849" s="5">
        <v>100766789</v>
      </c>
      <c r="I849" s="14">
        <v>40530</v>
      </c>
      <c r="J849" s="5">
        <v>7987</v>
      </c>
      <c r="K849" s="15">
        <v>81.73</v>
      </c>
      <c r="L849" s="15">
        <v>56.67</v>
      </c>
      <c r="M849" s="15">
        <v>652777.51</v>
      </c>
      <c r="N849" s="15">
        <v>452623.29000000004</v>
      </c>
      <c r="O849" s="16">
        <v>200154.21999999997</v>
      </c>
    </row>
    <row r="850" spans="2:15" ht="18.75" hidden="1" x14ac:dyDescent="0.25">
      <c r="B850" s="4" t="s">
        <v>74</v>
      </c>
      <c r="C850" s="5" t="s">
        <v>249</v>
      </c>
      <c r="D850" s="5" t="s">
        <v>58</v>
      </c>
      <c r="E850" s="5" t="s">
        <v>132</v>
      </c>
      <c r="F850" s="5" t="s">
        <v>55</v>
      </c>
      <c r="G850" s="14">
        <v>41663</v>
      </c>
      <c r="H850" s="5">
        <v>100767219</v>
      </c>
      <c r="I850" s="14">
        <v>41713</v>
      </c>
      <c r="J850" s="5">
        <v>8114</v>
      </c>
      <c r="K850" s="15">
        <v>255.28</v>
      </c>
      <c r="L850" s="15">
        <v>159.41999999999999</v>
      </c>
      <c r="M850" s="15">
        <v>2071341.92</v>
      </c>
      <c r="N850" s="15">
        <v>1293533.8799999999</v>
      </c>
      <c r="O850" s="16">
        <v>777808.04</v>
      </c>
    </row>
    <row r="851" spans="2:15" ht="18.75" hidden="1" x14ac:dyDescent="0.25">
      <c r="B851" s="4" t="s">
        <v>72</v>
      </c>
      <c r="C851" s="5" t="s">
        <v>214</v>
      </c>
      <c r="D851" s="5" t="s">
        <v>96</v>
      </c>
      <c r="E851" s="5" t="s">
        <v>132</v>
      </c>
      <c r="F851" s="5" t="s">
        <v>70</v>
      </c>
      <c r="G851" s="14">
        <v>42800</v>
      </c>
      <c r="H851" s="5">
        <v>100767648</v>
      </c>
      <c r="I851" s="14">
        <v>42846</v>
      </c>
      <c r="J851" s="5">
        <v>8241</v>
      </c>
      <c r="K851" s="15">
        <v>154.06</v>
      </c>
      <c r="L851" s="15">
        <v>90.93</v>
      </c>
      <c r="M851" s="15">
        <v>1269608.46</v>
      </c>
      <c r="N851" s="15">
        <v>749354.13</v>
      </c>
      <c r="O851" s="16">
        <v>520254.32999999996</v>
      </c>
    </row>
    <row r="852" spans="2:15" ht="18.75" hidden="1" x14ac:dyDescent="0.25">
      <c r="B852" s="4" t="s">
        <v>81</v>
      </c>
      <c r="C852" s="5" t="s">
        <v>110</v>
      </c>
      <c r="D852" s="5" t="s">
        <v>68</v>
      </c>
      <c r="E852" s="5" t="s">
        <v>132</v>
      </c>
      <c r="F852" s="5" t="s">
        <v>70</v>
      </c>
      <c r="G852" s="14">
        <v>43938</v>
      </c>
      <c r="H852" s="5">
        <v>100768077</v>
      </c>
      <c r="I852" s="14">
        <v>43980</v>
      </c>
      <c r="J852" s="5">
        <v>8368</v>
      </c>
      <c r="K852" s="15">
        <v>109.28</v>
      </c>
      <c r="L852" s="15">
        <v>35.840000000000003</v>
      </c>
      <c r="M852" s="15">
        <v>914455.04000000004</v>
      </c>
      <c r="N852" s="15">
        <v>299909.12000000005</v>
      </c>
      <c r="O852" s="16">
        <v>614545.91999999993</v>
      </c>
    </row>
    <row r="853" spans="2:15" ht="18.75" hidden="1" x14ac:dyDescent="0.25">
      <c r="B853" s="4" t="s">
        <v>51</v>
      </c>
      <c r="C853" s="5" t="s">
        <v>111</v>
      </c>
      <c r="D853" s="5" t="s">
        <v>100</v>
      </c>
      <c r="E853" s="5" t="s">
        <v>132</v>
      </c>
      <c r="F853" s="5" t="s">
        <v>59</v>
      </c>
      <c r="G853" s="14">
        <v>41116</v>
      </c>
      <c r="H853" s="5">
        <v>100768506</v>
      </c>
      <c r="I853" s="14">
        <v>41153</v>
      </c>
      <c r="J853" s="5">
        <v>8495</v>
      </c>
      <c r="K853" s="15">
        <v>205.7</v>
      </c>
      <c r="L853" s="15">
        <v>117.11</v>
      </c>
      <c r="M853" s="15">
        <v>1747421.5</v>
      </c>
      <c r="N853" s="15">
        <v>994849.45</v>
      </c>
      <c r="O853" s="16">
        <v>752572.05</v>
      </c>
    </row>
    <row r="854" spans="2:15" ht="18.75" hidden="1" x14ac:dyDescent="0.25">
      <c r="B854" s="4" t="s">
        <v>60</v>
      </c>
      <c r="C854" s="5" t="s">
        <v>200</v>
      </c>
      <c r="D854" s="5" t="s">
        <v>58</v>
      </c>
      <c r="E854" s="5" t="s">
        <v>132</v>
      </c>
      <c r="F854" s="5" t="s">
        <v>70</v>
      </c>
      <c r="G854" s="14">
        <v>42844</v>
      </c>
      <c r="H854" s="5">
        <v>100770652</v>
      </c>
      <c r="I854" s="14">
        <v>42860</v>
      </c>
      <c r="J854" s="5">
        <v>9130</v>
      </c>
      <c r="K854" s="15">
        <v>255.28</v>
      </c>
      <c r="L854" s="15">
        <v>159.41999999999999</v>
      </c>
      <c r="M854" s="15">
        <v>2330706.4</v>
      </c>
      <c r="N854" s="15">
        <v>1455504.5999999999</v>
      </c>
      <c r="O854" s="16">
        <v>875201.8</v>
      </c>
    </row>
    <row r="855" spans="2:15" ht="18.75" hidden="1" x14ac:dyDescent="0.25">
      <c r="B855" s="4" t="s">
        <v>51</v>
      </c>
      <c r="C855" s="5" t="s">
        <v>161</v>
      </c>
      <c r="D855" s="5" t="s">
        <v>96</v>
      </c>
      <c r="E855" s="5" t="s">
        <v>132</v>
      </c>
      <c r="F855" s="5" t="s">
        <v>70</v>
      </c>
      <c r="G855" s="14">
        <v>43981</v>
      </c>
      <c r="H855" s="5">
        <v>100771081</v>
      </c>
      <c r="I855" s="14">
        <v>43992</v>
      </c>
      <c r="J855" s="5">
        <v>9257</v>
      </c>
      <c r="K855" s="15">
        <v>154.06</v>
      </c>
      <c r="L855" s="15">
        <v>90.93</v>
      </c>
      <c r="M855" s="15">
        <v>1426133.42</v>
      </c>
      <c r="N855" s="15">
        <v>841739.01</v>
      </c>
      <c r="O855" s="16">
        <v>584394.40999999992</v>
      </c>
    </row>
    <row r="856" spans="2:15" ht="18.75" hidden="1" x14ac:dyDescent="0.25">
      <c r="B856" s="4" t="s">
        <v>74</v>
      </c>
      <c r="C856" s="5" t="s">
        <v>162</v>
      </c>
      <c r="D856" s="5" t="s">
        <v>53</v>
      </c>
      <c r="E856" s="5" t="s">
        <v>132</v>
      </c>
      <c r="F856" s="5" t="s">
        <v>55</v>
      </c>
      <c r="G856" s="14">
        <v>41750</v>
      </c>
      <c r="H856" s="5">
        <v>100773227</v>
      </c>
      <c r="I856" s="14">
        <v>41790</v>
      </c>
      <c r="J856" s="5">
        <v>9892</v>
      </c>
      <c r="K856" s="15">
        <v>9.33</v>
      </c>
      <c r="L856" s="15">
        <v>6.92</v>
      </c>
      <c r="M856" s="15">
        <v>92292.36</v>
      </c>
      <c r="N856" s="15">
        <v>68452.639999999999</v>
      </c>
      <c r="O856" s="16">
        <v>23839.72</v>
      </c>
    </row>
    <row r="857" spans="2:15" ht="18.75" hidden="1" x14ac:dyDescent="0.25">
      <c r="B857" s="4" t="s">
        <v>51</v>
      </c>
      <c r="C857" s="5" t="s">
        <v>251</v>
      </c>
      <c r="D857" s="5" t="s">
        <v>96</v>
      </c>
      <c r="E857" s="5" t="s">
        <v>132</v>
      </c>
      <c r="F857" s="5" t="s">
        <v>59</v>
      </c>
      <c r="G857" s="14">
        <v>41202</v>
      </c>
      <c r="H857" s="5">
        <v>100774514</v>
      </c>
      <c r="I857" s="14">
        <v>41229</v>
      </c>
      <c r="J857" s="5">
        <v>273</v>
      </c>
      <c r="K857" s="15">
        <v>154.06</v>
      </c>
      <c r="L857" s="15">
        <v>90.93</v>
      </c>
      <c r="M857" s="15">
        <v>42058.38</v>
      </c>
      <c r="N857" s="15">
        <v>24823.890000000003</v>
      </c>
      <c r="O857" s="16">
        <v>17234.489999999994</v>
      </c>
    </row>
    <row r="858" spans="2:15" ht="18.75" hidden="1" x14ac:dyDescent="0.25">
      <c r="B858" s="4" t="s">
        <v>60</v>
      </c>
      <c r="C858" s="5" t="s">
        <v>120</v>
      </c>
      <c r="D858" s="5" t="s">
        <v>100</v>
      </c>
      <c r="E858" s="5" t="s">
        <v>132</v>
      </c>
      <c r="F858" s="5" t="s">
        <v>63</v>
      </c>
      <c r="G858" s="14">
        <v>43477</v>
      </c>
      <c r="H858" s="5">
        <v>100775372</v>
      </c>
      <c r="I858" s="14">
        <v>43496</v>
      </c>
      <c r="J858" s="5">
        <v>527</v>
      </c>
      <c r="K858" s="15">
        <v>205.7</v>
      </c>
      <c r="L858" s="15">
        <v>117.11</v>
      </c>
      <c r="M858" s="15">
        <v>108403.9</v>
      </c>
      <c r="N858" s="15">
        <v>61716.97</v>
      </c>
      <c r="O858" s="16">
        <v>46686.929999999993</v>
      </c>
    </row>
    <row r="859" spans="2:15" ht="18.75" hidden="1" x14ac:dyDescent="0.25">
      <c r="B859" s="4" t="s">
        <v>51</v>
      </c>
      <c r="C859" s="5" t="s">
        <v>230</v>
      </c>
      <c r="D859" s="5" t="s">
        <v>76</v>
      </c>
      <c r="E859" s="5" t="s">
        <v>132</v>
      </c>
      <c r="F859" s="5" t="s">
        <v>63</v>
      </c>
      <c r="G859" s="14">
        <v>40655</v>
      </c>
      <c r="H859" s="5">
        <v>100775802</v>
      </c>
      <c r="I859" s="14">
        <v>40669</v>
      </c>
      <c r="J859" s="5">
        <v>654</v>
      </c>
      <c r="K859" s="15">
        <v>421.89</v>
      </c>
      <c r="L859" s="15">
        <v>364.69</v>
      </c>
      <c r="M859" s="15">
        <v>275916.06</v>
      </c>
      <c r="N859" s="15">
        <v>238507.26</v>
      </c>
      <c r="O859" s="16">
        <v>37408.799999999988</v>
      </c>
    </row>
    <row r="860" spans="2:15" ht="18.75" hidden="1" x14ac:dyDescent="0.25">
      <c r="B860" s="4" t="s">
        <v>60</v>
      </c>
      <c r="C860" s="5" t="s">
        <v>252</v>
      </c>
      <c r="D860" s="5" t="s">
        <v>53</v>
      </c>
      <c r="E860" s="5" t="s">
        <v>132</v>
      </c>
      <c r="F860" s="5" t="s">
        <v>55</v>
      </c>
      <c r="G860" s="14">
        <v>42930</v>
      </c>
      <c r="H860" s="5">
        <v>100776660</v>
      </c>
      <c r="I860" s="14">
        <v>42936</v>
      </c>
      <c r="J860" s="5">
        <v>908</v>
      </c>
      <c r="K860" s="15">
        <v>9.33</v>
      </c>
      <c r="L860" s="15">
        <v>6.92</v>
      </c>
      <c r="M860" s="15">
        <v>8471.64</v>
      </c>
      <c r="N860" s="15">
        <v>6283.36</v>
      </c>
      <c r="O860" s="16">
        <v>2188.2799999999997</v>
      </c>
    </row>
    <row r="861" spans="2:15" ht="18.75" hidden="1" x14ac:dyDescent="0.25">
      <c r="B861" s="4" t="s">
        <v>81</v>
      </c>
      <c r="C861" s="5" t="s">
        <v>231</v>
      </c>
      <c r="D861" s="5" t="s">
        <v>58</v>
      </c>
      <c r="E861" s="5" t="s">
        <v>132</v>
      </c>
      <c r="F861" s="5" t="s">
        <v>70</v>
      </c>
      <c r="G861" s="14">
        <v>41246</v>
      </c>
      <c r="H861" s="5">
        <v>100777518</v>
      </c>
      <c r="I861" s="14">
        <v>41294</v>
      </c>
      <c r="J861" s="5">
        <v>1162</v>
      </c>
      <c r="K861" s="15">
        <v>255.28</v>
      </c>
      <c r="L861" s="15">
        <v>159.41999999999999</v>
      </c>
      <c r="M861" s="15">
        <v>296635.36</v>
      </c>
      <c r="N861" s="15">
        <v>185246.03999999998</v>
      </c>
      <c r="O861" s="16">
        <v>111389.32</v>
      </c>
    </row>
    <row r="862" spans="2:15" ht="18.75" hidden="1" x14ac:dyDescent="0.25">
      <c r="B862" s="4" t="s">
        <v>74</v>
      </c>
      <c r="C862" s="5" t="s">
        <v>123</v>
      </c>
      <c r="D862" s="5" t="s">
        <v>65</v>
      </c>
      <c r="E862" s="5" t="s">
        <v>132</v>
      </c>
      <c r="F862" s="5" t="s">
        <v>59</v>
      </c>
      <c r="G862" s="14">
        <v>42383</v>
      </c>
      <c r="H862" s="5">
        <v>100777947</v>
      </c>
      <c r="I862" s="14">
        <v>42427</v>
      </c>
      <c r="J862" s="5">
        <v>1289</v>
      </c>
      <c r="K862" s="15">
        <v>651.21</v>
      </c>
      <c r="L862" s="15">
        <v>524.96</v>
      </c>
      <c r="M862" s="15">
        <v>839409.69000000006</v>
      </c>
      <c r="N862" s="15">
        <v>676673.44000000006</v>
      </c>
      <c r="O862" s="16">
        <v>162736.25</v>
      </c>
    </row>
    <row r="863" spans="2:15" ht="18.75" hidden="1" x14ac:dyDescent="0.25">
      <c r="B863" s="4" t="s">
        <v>56</v>
      </c>
      <c r="C863" s="5" t="s">
        <v>260</v>
      </c>
      <c r="D863" s="5" t="s">
        <v>53</v>
      </c>
      <c r="E863" s="5" t="s">
        <v>132</v>
      </c>
      <c r="F863" s="5" t="s">
        <v>70</v>
      </c>
      <c r="G863" s="14">
        <v>44110</v>
      </c>
      <c r="H863" s="5">
        <v>100780093</v>
      </c>
      <c r="I863" s="14">
        <v>44132</v>
      </c>
      <c r="J863" s="5">
        <v>1924</v>
      </c>
      <c r="K863" s="15">
        <v>9.33</v>
      </c>
      <c r="L863" s="15">
        <v>6.92</v>
      </c>
      <c r="M863" s="15">
        <v>17950.920000000002</v>
      </c>
      <c r="N863" s="15">
        <v>13314.08</v>
      </c>
      <c r="O863" s="16">
        <v>4636.840000000002</v>
      </c>
    </row>
    <row r="864" spans="2:15" ht="18.75" hidden="1" x14ac:dyDescent="0.25">
      <c r="B864" s="4" t="s">
        <v>81</v>
      </c>
      <c r="C864" s="5" t="s">
        <v>126</v>
      </c>
      <c r="D864" s="5" t="s">
        <v>58</v>
      </c>
      <c r="E864" s="5" t="s">
        <v>132</v>
      </c>
      <c r="F864" s="5" t="s">
        <v>59</v>
      </c>
      <c r="G864" s="14">
        <v>42426</v>
      </c>
      <c r="H864" s="5">
        <v>100780951</v>
      </c>
      <c r="I864" s="14">
        <v>42439</v>
      </c>
      <c r="J864" s="5">
        <v>2178</v>
      </c>
      <c r="K864" s="15">
        <v>255.28</v>
      </c>
      <c r="L864" s="15">
        <v>159.41999999999999</v>
      </c>
      <c r="M864" s="15">
        <v>555999.84</v>
      </c>
      <c r="N864" s="15">
        <v>347216.75999999995</v>
      </c>
      <c r="O864" s="16">
        <v>208783.08000000002</v>
      </c>
    </row>
    <row r="865" spans="2:15" ht="18.75" hidden="1" x14ac:dyDescent="0.25">
      <c r="B865" s="4" t="s">
        <v>60</v>
      </c>
      <c r="C865" s="5" t="s">
        <v>127</v>
      </c>
      <c r="D865" s="5" t="s">
        <v>65</v>
      </c>
      <c r="E865" s="5" t="s">
        <v>132</v>
      </c>
      <c r="F865" s="5" t="s">
        <v>59</v>
      </c>
      <c r="G865" s="14">
        <v>43563</v>
      </c>
      <c r="H865" s="5">
        <v>100781381</v>
      </c>
      <c r="I865" s="14">
        <v>43572</v>
      </c>
      <c r="J865" s="5">
        <v>2305</v>
      </c>
      <c r="K865" s="15">
        <v>651.21</v>
      </c>
      <c r="L865" s="15">
        <v>524.96</v>
      </c>
      <c r="M865" s="15">
        <v>1501039.05</v>
      </c>
      <c r="N865" s="15">
        <v>1210032.8</v>
      </c>
      <c r="O865" s="16">
        <v>291006.25</v>
      </c>
    </row>
    <row r="866" spans="2:15" ht="18.75" hidden="1" x14ac:dyDescent="0.25">
      <c r="B866" s="4" t="s">
        <v>72</v>
      </c>
      <c r="C866" s="5" t="s">
        <v>131</v>
      </c>
      <c r="D866" s="5" t="s">
        <v>78</v>
      </c>
      <c r="E866" s="5" t="s">
        <v>132</v>
      </c>
      <c r="F866" s="5" t="s">
        <v>55</v>
      </c>
      <c r="G866" s="14">
        <v>40195</v>
      </c>
      <c r="H866" s="5">
        <v>100783097</v>
      </c>
      <c r="I866" s="14">
        <v>40237</v>
      </c>
      <c r="J866" s="5">
        <v>2813</v>
      </c>
      <c r="K866" s="15">
        <v>47.45</v>
      </c>
      <c r="L866" s="15">
        <v>31.79</v>
      </c>
      <c r="M866" s="15">
        <v>133476.85</v>
      </c>
      <c r="N866" s="15">
        <v>89425.27</v>
      </c>
      <c r="O866" s="16">
        <v>44051.58</v>
      </c>
    </row>
    <row r="867" spans="2:15" ht="18.75" hidden="1" x14ac:dyDescent="0.25">
      <c r="B867" s="4" t="s">
        <v>81</v>
      </c>
      <c r="C867" s="5" t="s">
        <v>133</v>
      </c>
      <c r="D867" s="5" t="s">
        <v>53</v>
      </c>
      <c r="E867" s="5" t="s">
        <v>132</v>
      </c>
      <c r="F867" s="5" t="s">
        <v>70</v>
      </c>
      <c r="G867" s="14">
        <v>41332</v>
      </c>
      <c r="H867" s="5">
        <v>100783526</v>
      </c>
      <c r="I867" s="14">
        <v>41370</v>
      </c>
      <c r="J867" s="5">
        <v>2940</v>
      </c>
      <c r="K867" s="15">
        <v>9.33</v>
      </c>
      <c r="L867" s="15">
        <v>6.92</v>
      </c>
      <c r="M867" s="15">
        <v>27430.2</v>
      </c>
      <c r="N867" s="15">
        <v>20344.8</v>
      </c>
      <c r="O867" s="16">
        <v>7085.4000000000015</v>
      </c>
    </row>
    <row r="868" spans="2:15" ht="18.75" hidden="1" x14ac:dyDescent="0.25">
      <c r="B868" s="4" t="s">
        <v>74</v>
      </c>
      <c r="C868" s="5" t="s">
        <v>220</v>
      </c>
      <c r="D868" s="5" t="s">
        <v>80</v>
      </c>
      <c r="E868" s="5" t="s">
        <v>132</v>
      </c>
      <c r="F868" s="5" t="s">
        <v>59</v>
      </c>
      <c r="G868" s="14">
        <v>42469</v>
      </c>
      <c r="H868" s="5">
        <v>100783956</v>
      </c>
      <c r="I868" s="14">
        <v>42503</v>
      </c>
      <c r="J868" s="5">
        <v>3067</v>
      </c>
      <c r="K868" s="15">
        <v>668.27</v>
      </c>
      <c r="L868" s="15">
        <v>502.54</v>
      </c>
      <c r="M868" s="15">
        <v>2049584.0899999999</v>
      </c>
      <c r="N868" s="15">
        <v>1541290.1800000002</v>
      </c>
      <c r="O868" s="16">
        <v>508293.90999999968</v>
      </c>
    </row>
    <row r="869" spans="2:15" ht="18.75" hidden="1" x14ac:dyDescent="0.25">
      <c r="B869" s="4" t="s">
        <v>72</v>
      </c>
      <c r="C869" s="5" t="s">
        <v>134</v>
      </c>
      <c r="D869" s="5" t="s">
        <v>58</v>
      </c>
      <c r="E869" s="5" t="s">
        <v>132</v>
      </c>
      <c r="F869" s="5" t="s">
        <v>59</v>
      </c>
      <c r="G869" s="14">
        <v>43607</v>
      </c>
      <c r="H869" s="5">
        <v>100784385</v>
      </c>
      <c r="I869" s="14">
        <v>43636</v>
      </c>
      <c r="J869" s="5">
        <v>3194</v>
      </c>
      <c r="K869" s="15">
        <v>255.28</v>
      </c>
      <c r="L869" s="15">
        <v>159.41999999999999</v>
      </c>
      <c r="M869" s="15">
        <v>815364.32</v>
      </c>
      <c r="N869" s="15">
        <v>509187.48</v>
      </c>
      <c r="O869" s="16">
        <v>306176.83999999997</v>
      </c>
    </row>
    <row r="870" spans="2:15" ht="18.75" hidden="1" x14ac:dyDescent="0.25">
      <c r="B870" s="4" t="s">
        <v>51</v>
      </c>
      <c r="C870" s="5" t="s">
        <v>136</v>
      </c>
      <c r="D870" s="5" t="s">
        <v>68</v>
      </c>
      <c r="E870" s="5" t="s">
        <v>132</v>
      </c>
      <c r="F870" s="5" t="s">
        <v>63</v>
      </c>
      <c r="G870" s="14">
        <v>41922</v>
      </c>
      <c r="H870" s="5">
        <v>100785243</v>
      </c>
      <c r="I870" s="14">
        <v>41942</v>
      </c>
      <c r="J870" s="5">
        <v>3448</v>
      </c>
      <c r="K870" s="15">
        <v>109.28</v>
      </c>
      <c r="L870" s="15">
        <v>35.840000000000003</v>
      </c>
      <c r="M870" s="15">
        <v>376797.44</v>
      </c>
      <c r="N870" s="15">
        <v>123576.32000000001</v>
      </c>
      <c r="O870" s="16">
        <v>253221.12</v>
      </c>
    </row>
    <row r="871" spans="2:15" ht="18.75" hidden="1" x14ac:dyDescent="0.25">
      <c r="B871" s="4" t="s">
        <v>81</v>
      </c>
      <c r="C871" s="5" t="s">
        <v>221</v>
      </c>
      <c r="D871" s="5" t="s">
        <v>62</v>
      </c>
      <c r="E871" s="5" t="s">
        <v>132</v>
      </c>
      <c r="F871" s="5" t="s">
        <v>55</v>
      </c>
      <c r="G871" s="14">
        <v>43060</v>
      </c>
      <c r="H871" s="5">
        <v>100785672</v>
      </c>
      <c r="I871" s="14">
        <v>43076</v>
      </c>
      <c r="J871" s="5">
        <v>3575</v>
      </c>
      <c r="K871" s="15">
        <v>437.2</v>
      </c>
      <c r="L871" s="15">
        <v>263.33</v>
      </c>
      <c r="M871" s="15">
        <v>1562990</v>
      </c>
      <c r="N871" s="15">
        <v>941404.75</v>
      </c>
      <c r="O871" s="16">
        <v>621585.25</v>
      </c>
    </row>
    <row r="872" spans="2:15" ht="18.75" hidden="1" x14ac:dyDescent="0.25">
      <c r="B872" s="4" t="s">
        <v>60</v>
      </c>
      <c r="C872" s="5" t="s">
        <v>232</v>
      </c>
      <c r="D872" s="5" t="s">
        <v>76</v>
      </c>
      <c r="E872" s="5" t="s">
        <v>132</v>
      </c>
      <c r="F872" s="5" t="s">
        <v>55</v>
      </c>
      <c r="G872" s="14">
        <v>40238</v>
      </c>
      <c r="H872" s="5">
        <v>100786101</v>
      </c>
      <c r="I872" s="14">
        <v>40250</v>
      </c>
      <c r="J872" s="5">
        <v>3702</v>
      </c>
      <c r="K872" s="15">
        <v>421.89</v>
      </c>
      <c r="L872" s="15">
        <v>364.69</v>
      </c>
      <c r="M872" s="15">
        <v>1561836.78</v>
      </c>
      <c r="N872" s="15">
        <v>1350082.38</v>
      </c>
      <c r="O872" s="16">
        <v>211754.40000000014</v>
      </c>
    </row>
    <row r="873" spans="2:15" ht="18.75" hidden="1" x14ac:dyDescent="0.25">
      <c r="B873" s="4" t="s">
        <v>51</v>
      </c>
      <c r="C873" s="5" t="s">
        <v>137</v>
      </c>
      <c r="D873" s="5" t="s">
        <v>78</v>
      </c>
      <c r="E873" s="5" t="s">
        <v>132</v>
      </c>
      <c r="F873" s="5" t="s">
        <v>70</v>
      </c>
      <c r="G873" s="14">
        <v>41375</v>
      </c>
      <c r="H873" s="5">
        <v>100786530</v>
      </c>
      <c r="I873" s="14">
        <v>41382</v>
      </c>
      <c r="J873" s="5">
        <v>3829</v>
      </c>
      <c r="K873" s="15">
        <v>47.45</v>
      </c>
      <c r="L873" s="15">
        <v>31.79</v>
      </c>
      <c r="M873" s="15">
        <v>181686.05000000002</v>
      </c>
      <c r="N873" s="15">
        <v>121723.91</v>
      </c>
      <c r="O873" s="16">
        <v>59962.140000000014</v>
      </c>
    </row>
    <row r="874" spans="2:15" ht="18.75" hidden="1" x14ac:dyDescent="0.25">
      <c r="B874" s="4" t="s">
        <v>72</v>
      </c>
      <c r="C874" s="5" t="s">
        <v>175</v>
      </c>
      <c r="D874" s="5" t="s">
        <v>62</v>
      </c>
      <c r="E874" s="5" t="s">
        <v>132</v>
      </c>
      <c r="F874" s="5" t="s">
        <v>55</v>
      </c>
      <c r="G874" s="14">
        <v>40281</v>
      </c>
      <c r="H874" s="5">
        <v>100789105</v>
      </c>
      <c r="I874" s="14">
        <v>40313</v>
      </c>
      <c r="J874" s="5">
        <v>4591</v>
      </c>
      <c r="K874" s="15">
        <v>437.2</v>
      </c>
      <c r="L874" s="15">
        <v>263.33</v>
      </c>
      <c r="M874" s="15">
        <v>2007185.2</v>
      </c>
      <c r="N874" s="15">
        <v>1208948.03</v>
      </c>
      <c r="O874" s="16">
        <v>798237.16999999993</v>
      </c>
    </row>
    <row r="875" spans="2:15" ht="18.75" hidden="1" x14ac:dyDescent="0.25">
      <c r="B875" s="4" t="s">
        <v>81</v>
      </c>
      <c r="C875" s="5" t="s">
        <v>142</v>
      </c>
      <c r="D875" s="5" t="s">
        <v>53</v>
      </c>
      <c r="E875" s="5" t="s">
        <v>132</v>
      </c>
      <c r="F875" s="5" t="s">
        <v>59</v>
      </c>
      <c r="G875" s="14">
        <v>43693</v>
      </c>
      <c r="H875" s="5">
        <v>100790393</v>
      </c>
      <c r="I875" s="14">
        <v>43712</v>
      </c>
      <c r="J875" s="5">
        <v>4972</v>
      </c>
      <c r="K875" s="15">
        <v>9.33</v>
      </c>
      <c r="L875" s="15">
        <v>6.92</v>
      </c>
      <c r="M875" s="15">
        <v>46388.76</v>
      </c>
      <c r="N875" s="15">
        <v>34406.239999999998</v>
      </c>
      <c r="O875" s="16">
        <v>11982.520000000004</v>
      </c>
    </row>
    <row r="876" spans="2:15" ht="18.75" hidden="1" x14ac:dyDescent="0.25">
      <c r="B876" s="4" t="s">
        <v>56</v>
      </c>
      <c r="C876" s="5" t="s">
        <v>57</v>
      </c>
      <c r="D876" s="5" t="s">
        <v>80</v>
      </c>
      <c r="E876" s="5" t="s">
        <v>132</v>
      </c>
      <c r="F876" s="5" t="s">
        <v>59</v>
      </c>
      <c r="G876" s="14">
        <v>40871</v>
      </c>
      <c r="H876" s="5">
        <v>100790822</v>
      </c>
      <c r="I876" s="14">
        <v>40886</v>
      </c>
      <c r="J876" s="5">
        <v>5099</v>
      </c>
      <c r="K876" s="15">
        <v>668.27</v>
      </c>
      <c r="L876" s="15">
        <v>502.54</v>
      </c>
      <c r="M876" s="15">
        <v>3407508.73</v>
      </c>
      <c r="N876" s="15">
        <v>2562451.46</v>
      </c>
      <c r="O876" s="16">
        <v>845057.27</v>
      </c>
    </row>
    <row r="877" spans="2:15" ht="18.75" hidden="1" x14ac:dyDescent="0.25">
      <c r="B877" s="4" t="s">
        <v>81</v>
      </c>
      <c r="C877" s="5" t="s">
        <v>145</v>
      </c>
      <c r="D877" s="5" t="s">
        <v>65</v>
      </c>
      <c r="E877" s="5" t="s">
        <v>132</v>
      </c>
      <c r="F877" s="5" t="s">
        <v>63</v>
      </c>
      <c r="G877" s="14">
        <v>43146</v>
      </c>
      <c r="H877" s="5">
        <v>100791680</v>
      </c>
      <c r="I877" s="14">
        <v>43152</v>
      </c>
      <c r="J877" s="5">
        <v>5353</v>
      </c>
      <c r="K877" s="15">
        <v>651.21</v>
      </c>
      <c r="L877" s="15">
        <v>524.96</v>
      </c>
      <c r="M877" s="15">
        <v>3485927.1300000004</v>
      </c>
      <c r="N877" s="15">
        <v>2810110.8800000004</v>
      </c>
      <c r="O877" s="16">
        <v>675816.25</v>
      </c>
    </row>
    <row r="878" spans="2:15" ht="18.75" hidden="1" x14ac:dyDescent="0.25">
      <c r="B878" s="4" t="s">
        <v>60</v>
      </c>
      <c r="C878" s="5" t="s">
        <v>146</v>
      </c>
      <c r="D878" s="5" t="s">
        <v>68</v>
      </c>
      <c r="E878" s="5" t="s">
        <v>132</v>
      </c>
      <c r="F878" s="5" t="s">
        <v>55</v>
      </c>
      <c r="G878" s="14">
        <v>40324</v>
      </c>
      <c r="H878" s="5">
        <v>100792109</v>
      </c>
      <c r="I878" s="14">
        <v>40326</v>
      </c>
      <c r="J878" s="5">
        <v>5480</v>
      </c>
      <c r="K878" s="15">
        <v>109.28</v>
      </c>
      <c r="L878" s="15">
        <v>35.840000000000003</v>
      </c>
      <c r="M878" s="15">
        <v>598854.40000000002</v>
      </c>
      <c r="N878" s="15">
        <v>196403.20000000001</v>
      </c>
      <c r="O878" s="16">
        <v>402451.20000000001</v>
      </c>
    </row>
    <row r="879" spans="2:15" ht="18.75" hidden="1" x14ac:dyDescent="0.25">
      <c r="B879" s="4" t="s">
        <v>74</v>
      </c>
      <c r="C879" s="5" t="s">
        <v>147</v>
      </c>
      <c r="D879" s="5" t="s">
        <v>78</v>
      </c>
      <c r="E879" s="5" t="s">
        <v>132</v>
      </c>
      <c r="F879" s="5" t="s">
        <v>70</v>
      </c>
      <c r="G879" s="14">
        <v>43736</v>
      </c>
      <c r="H879" s="5">
        <v>100793397</v>
      </c>
      <c r="I879" s="14">
        <v>43776</v>
      </c>
      <c r="J879" s="5">
        <v>5861</v>
      </c>
      <c r="K879" s="15">
        <v>47.45</v>
      </c>
      <c r="L879" s="15">
        <v>31.79</v>
      </c>
      <c r="M879" s="15">
        <v>278104.45</v>
      </c>
      <c r="N879" s="15">
        <v>186321.19</v>
      </c>
      <c r="O879" s="16">
        <v>91783.260000000009</v>
      </c>
    </row>
    <row r="880" spans="2:15" ht="18.75" hidden="1" x14ac:dyDescent="0.25">
      <c r="B880" s="4" t="s">
        <v>72</v>
      </c>
      <c r="C880" s="5" t="s">
        <v>223</v>
      </c>
      <c r="D880" s="5" t="s">
        <v>53</v>
      </c>
      <c r="E880" s="5" t="s">
        <v>132</v>
      </c>
      <c r="F880" s="5" t="s">
        <v>59</v>
      </c>
      <c r="G880" s="14">
        <v>40914</v>
      </c>
      <c r="H880" s="5">
        <v>100793826</v>
      </c>
      <c r="I880" s="14">
        <v>40949</v>
      </c>
      <c r="J880" s="5">
        <v>5988</v>
      </c>
      <c r="K880" s="15">
        <v>9.33</v>
      </c>
      <c r="L880" s="15">
        <v>6.92</v>
      </c>
      <c r="M880" s="15">
        <v>55868.04</v>
      </c>
      <c r="N880" s="15">
        <v>41436.959999999999</v>
      </c>
      <c r="O880" s="16">
        <v>14431.080000000002</v>
      </c>
    </row>
    <row r="881" spans="2:15" ht="18.75" hidden="1" x14ac:dyDescent="0.25">
      <c r="B881" s="4" t="s">
        <v>56</v>
      </c>
      <c r="C881" s="5" t="s">
        <v>257</v>
      </c>
      <c r="D881" s="5" t="s">
        <v>80</v>
      </c>
      <c r="E881" s="5" t="s">
        <v>132</v>
      </c>
      <c r="F881" s="5" t="s">
        <v>63</v>
      </c>
      <c r="G881" s="14">
        <v>42052</v>
      </c>
      <c r="H881" s="5">
        <v>100794255</v>
      </c>
      <c r="I881" s="14">
        <v>42083</v>
      </c>
      <c r="J881" s="5">
        <v>6115</v>
      </c>
      <c r="K881" s="15">
        <v>668.27</v>
      </c>
      <c r="L881" s="15">
        <v>502.54</v>
      </c>
      <c r="M881" s="15">
        <v>4086471.05</v>
      </c>
      <c r="N881" s="15">
        <v>3073032.1</v>
      </c>
      <c r="O881" s="16">
        <v>1013438.9499999997</v>
      </c>
    </row>
    <row r="882" spans="2:15" ht="18.75" hidden="1" x14ac:dyDescent="0.25">
      <c r="B882" s="4" t="s">
        <v>51</v>
      </c>
      <c r="C882" s="5" t="s">
        <v>64</v>
      </c>
      <c r="D882" s="5" t="s">
        <v>58</v>
      </c>
      <c r="E882" s="5" t="s">
        <v>132</v>
      </c>
      <c r="F882" s="5" t="s">
        <v>63</v>
      </c>
      <c r="G882" s="14">
        <v>43189</v>
      </c>
      <c r="H882" s="5">
        <v>100794684</v>
      </c>
      <c r="I882" s="14">
        <v>43216</v>
      </c>
      <c r="J882" s="5">
        <v>6242</v>
      </c>
      <c r="K882" s="15">
        <v>255.28</v>
      </c>
      <c r="L882" s="15">
        <v>159.41999999999999</v>
      </c>
      <c r="M882" s="15">
        <v>1593457.76</v>
      </c>
      <c r="N882" s="15">
        <v>995099.6399999999</v>
      </c>
      <c r="O882" s="16">
        <v>598358.12000000011</v>
      </c>
    </row>
    <row r="883" spans="2:15" ht="18.75" hidden="1" x14ac:dyDescent="0.25">
      <c r="B883" s="4" t="s">
        <v>66</v>
      </c>
      <c r="C883" s="5" t="s">
        <v>206</v>
      </c>
      <c r="D883" s="5" t="s">
        <v>65</v>
      </c>
      <c r="E883" s="5" t="s">
        <v>132</v>
      </c>
      <c r="F883" s="5" t="s">
        <v>55</v>
      </c>
      <c r="G883" s="14">
        <v>40367</v>
      </c>
      <c r="H883" s="5">
        <v>100795114</v>
      </c>
      <c r="I883" s="14">
        <v>40389</v>
      </c>
      <c r="J883" s="5">
        <v>6369</v>
      </c>
      <c r="K883" s="15">
        <v>651.21</v>
      </c>
      <c r="L883" s="15">
        <v>524.96</v>
      </c>
      <c r="M883" s="15">
        <v>4147556.49</v>
      </c>
      <c r="N883" s="15">
        <v>3343470.24</v>
      </c>
      <c r="O883" s="16">
        <v>804086.25</v>
      </c>
    </row>
    <row r="884" spans="2:15" ht="18.75" hidden="1" x14ac:dyDescent="0.25">
      <c r="B884" s="4" t="s">
        <v>51</v>
      </c>
      <c r="C884" s="5" t="s">
        <v>208</v>
      </c>
      <c r="D884" s="5" t="s">
        <v>62</v>
      </c>
      <c r="E884" s="5" t="s">
        <v>132</v>
      </c>
      <c r="F884" s="5" t="s">
        <v>70</v>
      </c>
      <c r="G884" s="14">
        <v>42642</v>
      </c>
      <c r="H884" s="5">
        <v>100795972</v>
      </c>
      <c r="I884" s="14">
        <v>42656</v>
      </c>
      <c r="J884" s="5">
        <v>6623</v>
      </c>
      <c r="K884" s="15">
        <v>437.2</v>
      </c>
      <c r="L884" s="15">
        <v>263.33</v>
      </c>
      <c r="M884" s="15">
        <v>2895575.6</v>
      </c>
      <c r="N884" s="15">
        <v>1744034.5899999999</v>
      </c>
      <c r="O884" s="16">
        <v>1151541.0100000002</v>
      </c>
    </row>
    <row r="885" spans="2:15" ht="18.75" hidden="1" x14ac:dyDescent="0.25">
      <c r="B885" s="4" t="s">
        <v>81</v>
      </c>
      <c r="C885" s="5" t="s">
        <v>179</v>
      </c>
      <c r="D885" s="5" t="s">
        <v>93</v>
      </c>
      <c r="E885" s="5" t="s">
        <v>54</v>
      </c>
      <c r="F885" s="5" t="s">
        <v>70</v>
      </c>
      <c r="G885" s="14">
        <v>43779</v>
      </c>
      <c r="H885" s="5">
        <v>100796401</v>
      </c>
      <c r="I885" s="14">
        <v>43788</v>
      </c>
      <c r="J885" s="5">
        <v>6750</v>
      </c>
      <c r="K885" s="15">
        <v>81.73</v>
      </c>
      <c r="L885" s="15">
        <v>56.67</v>
      </c>
      <c r="M885" s="15">
        <v>551677.5</v>
      </c>
      <c r="N885" s="15">
        <v>382522.5</v>
      </c>
      <c r="O885" s="16">
        <v>169155</v>
      </c>
    </row>
    <row r="886" spans="2:15" ht="18.75" hidden="1" x14ac:dyDescent="0.25">
      <c r="B886" s="4" t="s">
        <v>60</v>
      </c>
      <c r="C886" s="5" t="s">
        <v>248</v>
      </c>
      <c r="D886" s="5" t="s">
        <v>78</v>
      </c>
      <c r="E886" s="5" t="s">
        <v>54</v>
      </c>
      <c r="F886" s="5" t="s">
        <v>59</v>
      </c>
      <c r="G886" s="14">
        <v>40958</v>
      </c>
      <c r="H886" s="5">
        <v>100796830</v>
      </c>
      <c r="I886" s="14">
        <v>40963</v>
      </c>
      <c r="J886" s="5">
        <v>6877</v>
      </c>
      <c r="K886" s="15">
        <v>47.45</v>
      </c>
      <c r="L886" s="15">
        <v>31.79</v>
      </c>
      <c r="M886" s="15">
        <v>326313.65000000002</v>
      </c>
      <c r="N886" s="15">
        <v>218619.83</v>
      </c>
      <c r="O886" s="16">
        <v>107693.82000000004</v>
      </c>
    </row>
    <row r="887" spans="2:15" ht="18.75" hidden="1" x14ac:dyDescent="0.25">
      <c r="B887" s="4" t="s">
        <v>51</v>
      </c>
      <c r="C887" s="5" t="s">
        <v>234</v>
      </c>
      <c r="D887" s="5" t="s">
        <v>96</v>
      </c>
      <c r="E887" s="5" t="s">
        <v>54</v>
      </c>
      <c r="F887" s="5" t="s">
        <v>59</v>
      </c>
      <c r="G887" s="14">
        <v>42095</v>
      </c>
      <c r="H887" s="5">
        <v>100797259</v>
      </c>
      <c r="I887" s="14">
        <v>42095</v>
      </c>
      <c r="J887" s="5">
        <v>7004</v>
      </c>
      <c r="K887" s="15">
        <v>154.06</v>
      </c>
      <c r="L887" s="15">
        <v>90.93</v>
      </c>
      <c r="M887" s="15">
        <v>1079036.24</v>
      </c>
      <c r="N887" s="15">
        <v>636873.72000000009</v>
      </c>
      <c r="O887" s="16">
        <v>442162.5199999999</v>
      </c>
    </row>
    <row r="888" spans="2:15" ht="18.75" hidden="1" x14ac:dyDescent="0.25">
      <c r="B888" s="4" t="s">
        <v>81</v>
      </c>
      <c r="C888" s="5" t="s">
        <v>180</v>
      </c>
      <c r="D888" s="5" t="s">
        <v>80</v>
      </c>
      <c r="E888" s="5" t="s">
        <v>54</v>
      </c>
      <c r="F888" s="5" t="s">
        <v>63</v>
      </c>
      <c r="G888" s="14">
        <v>43232</v>
      </c>
      <c r="H888" s="5">
        <v>100797688</v>
      </c>
      <c r="I888" s="14">
        <v>43279</v>
      </c>
      <c r="J888" s="5">
        <v>7131</v>
      </c>
      <c r="K888" s="15">
        <v>668.27</v>
      </c>
      <c r="L888" s="15">
        <v>502.54</v>
      </c>
      <c r="M888" s="15">
        <v>4765433.37</v>
      </c>
      <c r="N888" s="15">
        <v>3583612.74</v>
      </c>
      <c r="O888" s="16">
        <v>1181820.6299999999</v>
      </c>
    </row>
    <row r="889" spans="2:15" ht="18.75" hidden="1" x14ac:dyDescent="0.25">
      <c r="B889" s="4" t="s">
        <v>56</v>
      </c>
      <c r="C889" s="5" t="s">
        <v>235</v>
      </c>
      <c r="D889" s="5" t="s">
        <v>78</v>
      </c>
      <c r="E889" s="5" t="s">
        <v>54</v>
      </c>
      <c r="F889" s="5" t="s">
        <v>59</v>
      </c>
      <c r="G889" s="14">
        <v>42138</v>
      </c>
      <c r="H889" s="5">
        <v>100800263</v>
      </c>
      <c r="I889" s="14">
        <v>42159</v>
      </c>
      <c r="J889" s="5">
        <v>7893</v>
      </c>
      <c r="K889" s="15">
        <v>47.45</v>
      </c>
      <c r="L889" s="15">
        <v>31.79</v>
      </c>
      <c r="M889" s="15">
        <v>374522.85000000003</v>
      </c>
      <c r="N889" s="15">
        <v>250918.47</v>
      </c>
      <c r="O889" s="16">
        <v>123604.38000000003</v>
      </c>
    </row>
    <row r="890" spans="2:15" ht="18.75" hidden="1" x14ac:dyDescent="0.25">
      <c r="B890" s="4" t="s">
        <v>51</v>
      </c>
      <c r="C890" s="5" t="s">
        <v>83</v>
      </c>
      <c r="D890" s="5" t="s">
        <v>65</v>
      </c>
      <c r="E890" s="5" t="s">
        <v>54</v>
      </c>
      <c r="F890" s="5" t="s">
        <v>55</v>
      </c>
      <c r="G890" s="14">
        <v>42728</v>
      </c>
      <c r="H890" s="5">
        <v>100801980</v>
      </c>
      <c r="I890" s="14">
        <v>42731</v>
      </c>
      <c r="J890" s="5">
        <v>8401</v>
      </c>
      <c r="K890" s="15">
        <v>651.21</v>
      </c>
      <c r="L890" s="15">
        <v>524.96</v>
      </c>
      <c r="M890" s="15">
        <v>5470815.21</v>
      </c>
      <c r="N890" s="15">
        <v>4410188.96</v>
      </c>
      <c r="O890" s="16">
        <v>1060626.25</v>
      </c>
    </row>
    <row r="891" spans="2:15" ht="18.75" hidden="1" x14ac:dyDescent="0.25">
      <c r="B891" s="4" t="s">
        <v>81</v>
      </c>
      <c r="C891" s="5" t="s">
        <v>210</v>
      </c>
      <c r="D891" s="5" t="s">
        <v>88</v>
      </c>
      <c r="E891" s="5" t="s">
        <v>54</v>
      </c>
      <c r="F891" s="5" t="s">
        <v>70</v>
      </c>
      <c r="G891" s="14">
        <v>43866</v>
      </c>
      <c r="H891" s="5">
        <v>100802409</v>
      </c>
      <c r="I891" s="14">
        <v>43916</v>
      </c>
      <c r="J891" s="5">
        <v>8528</v>
      </c>
      <c r="K891" s="15">
        <v>152.58000000000001</v>
      </c>
      <c r="L891" s="15">
        <v>97.44</v>
      </c>
      <c r="M891" s="15">
        <v>1301202.24</v>
      </c>
      <c r="N891" s="15">
        <v>830968.31999999995</v>
      </c>
      <c r="O891" s="16">
        <v>470233.92000000004</v>
      </c>
    </row>
    <row r="892" spans="2:15" ht="18.75" hidden="1" x14ac:dyDescent="0.25">
      <c r="B892" s="4" t="s">
        <v>60</v>
      </c>
      <c r="C892" s="5" t="s">
        <v>224</v>
      </c>
      <c r="D892" s="5" t="s">
        <v>62</v>
      </c>
      <c r="E892" s="5" t="s">
        <v>54</v>
      </c>
      <c r="F892" s="5" t="s">
        <v>70</v>
      </c>
      <c r="G892" s="14">
        <v>41044</v>
      </c>
      <c r="H892" s="5">
        <v>100802838</v>
      </c>
      <c r="I892" s="14">
        <v>41090</v>
      </c>
      <c r="J892" s="5">
        <v>8655</v>
      </c>
      <c r="K892" s="15">
        <v>437.2</v>
      </c>
      <c r="L892" s="15">
        <v>263.33</v>
      </c>
      <c r="M892" s="15">
        <v>3783966</v>
      </c>
      <c r="N892" s="15">
        <v>2279121.15</v>
      </c>
      <c r="O892" s="16">
        <v>1504844.85</v>
      </c>
    </row>
    <row r="893" spans="2:15" ht="18.75" hidden="1" x14ac:dyDescent="0.25">
      <c r="B893" s="4" t="s">
        <v>51</v>
      </c>
      <c r="C893" s="5" t="s">
        <v>154</v>
      </c>
      <c r="D893" s="5" t="s">
        <v>93</v>
      </c>
      <c r="E893" s="5" t="s">
        <v>54</v>
      </c>
      <c r="F893" s="5" t="s">
        <v>59</v>
      </c>
      <c r="G893" s="14">
        <v>42181</v>
      </c>
      <c r="H893" s="5">
        <v>100803267</v>
      </c>
      <c r="I893" s="14">
        <v>42222</v>
      </c>
      <c r="J893" s="5">
        <v>8782</v>
      </c>
      <c r="K893" s="15">
        <v>81.73</v>
      </c>
      <c r="L893" s="15">
        <v>56.67</v>
      </c>
      <c r="M893" s="15">
        <v>717752.86</v>
      </c>
      <c r="N893" s="15">
        <v>497675.94</v>
      </c>
      <c r="O893" s="16">
        <v>220076.91999999998</v>
      </c>
    </row>
    <row r="894" spans="2:15" ht="18.75" hidden="1" x14ac:dyDescent="0.25">
      <c r="B894" s="4" t="s">
        <v>72</v>
      </c>
      <c r="C894" s="5" t="s">
        <v>225</v>
      </c>
      <c r="D894" s="5" t="s">
        <v>80</v>
      </c>
      <c r="E894" s="5" t="s">
        <v>54</v>
      </c>
      <c r="F894" s="5" t="s">
        <v>55</v>
      </c>
      <c r="G894" s="14">
        <v>41634</v>
      </c>
      <c r="H894" s="5">
        <v>100804555</v>
      </c>
      <c r="I894" s="14">
        <v>41662</v>
      </c>
      <c r="J894" s="5">
        <v>9163</v>
      </c>
      <c r="K894" s="15">
        <v>668.27</v>
      </c>
      <c r="L894" s="15">
        <v>502.54</v>
      </c>
      <c r="M894" s="15">
        <v>6123358.0099999998</v>
      </c>
      <c r="N894" s="15">
        <v>4604774.0200000005</v>
      </c>
      <c r="O894" s="16">
        <v>1518583.9899999993</v>
      </c>
    </row>
    <row r="895" spans="2:15" ht="18.75" x14ac:dyDescent="0.25">
      <c r="B895" s="4" t="s">
        <v>51</v>
      </c>
      <c r="C895" s="5" t="s">
        <v>87</v>
      </c>
      <c r="D895" s="5" t="s">
        <v>65</v>
      </c>
      <c r="E895" s="5" t="s">
        <v>54</v>
      </c>
      <c r="F895" s="5" t="s">
        <v>70</v>
      </c>
      <c r="G895" s="14">
        <v>43909</v>
      </c>
      <c r="H895" s="5">
        <v>100805413</v>
      </c>
      <c r="I895" s="14">
        <v>43929</v>
      </c>
      <c r="J895" s="5">
        <v>9417</v>
      </c>
      <c r="K895" s="15">
        <v>651.21</v>
      </c>
      <c r="L895" s="15">
        <v>524.96</v>
      </c>
      <c r="M895" s="15">
        <v>6132444.5700000003</v>
      </c>
      <c r="N895" s="15">
        <v>4943548.32</v>
      </c>
      <c r="O895" s="16">
        <v>1188896.25</v>
      </c>
    </row>
    <row r="896" spans="2:15" ht="18.75" hidden="1" x14ac:dyDescent="0.25">
      <c r="B896" s="4" t="s">
        <v>81</v>
      </c>
      <c r="C896" s="5" t="s">
        <v>212</v>
      </c>
      <c r="D896" s="5" t="s">
        <v>88</v>
      </c>
      <c r="E896" s="5" t="s">
        <v>54</v>
      </c>
      <c r="F896" s="5" t="s">
        <v>70</v>
      </c>
      <c r="G896" s="14">
        <v>41087</v>
      </c>
      <c r="H896" s="5">
        <v>100805842</v>
      </c>
      <c r="I896" s="14">
        <v>41102</v>
      </c>
      <c r="J896" s="5">
        <v>9544</v>
      </c>
      <c r="K896" s="15">
        <v>152.58000000000001</v>
      </c>
      <c r="L896" s="15">
        <v>97.44</v>
      </c>
      <c r="M896" s="15">
        <v>1456223.52</v>
      </c>
      <c r="N896" s="15">
        <v>929967.36</v>
      </c>
      <c r="O896" s="16">
        <v>526256.16</v>
      </c>
    </row>
    <row r="897" spans="2:15" ht="18.75" hidden="1" x14ac:dyDescent="0.25">
      <c r="B897" s="4" t="s">
        <v>56</v>
      </c>
      <c r="C897" s="5" t="s">
        <v>156</v>
      </c>
      <c r="D897" s="5" t="s">
        <v>62</v>
      </c>
      <c r="E897" s="5" t="s">
        <v>54</v>
      </c>
      <c r="F897" s="5" t="s">
        <v>59</v>
      </c>
      <c r="G897" s="14">
        <v>42224</v>
      </c>
      <c r="H897" s="5">
        <v>100806272</v>
      </c>
      <c r="I897" s="14">
        <v>42235</v>
      </c>
      <c r="J897" s="5">
        <v>9671</v>
      </c>
      <c r="K897" s="15">
        <v>437.2</v>
      </c>
      <c r="L897" s="15">
        <v>263.33</v>
      </c>
      <c r="M897" s="15">
        <v>4228161.2</v>
      </c>
      <c r="N897" s="15">
        <v>2546664.4299999997</v>
      </c>
      <c r="O897" s="16">
        <v>1681496.7700000005</v>
      </c>
    </row>
    <row r="898" spans="2:15" ht="18.75" hidden="1" x14ac:dyDescent="0.25">
      <c r="B898" s="4" t="s">
        <v>51</v>
      </c>
      <c r="C898" s="5" t="s">
        <v>226</v>
      </c>
      <c r="D898" s="5" t="s">
        <v>93</v>
      </c>
      <c r="E898" s="5" t="s">
        <v>54</v>
      </c>
      <c r="F898" s="5" t="s">
        <v>59</v>
      </c>
      <c r="G898" s="14">
        <v>43362</v>
      </c>
      <c r="H898" s="5">
        <v>100806701</v>
      </c>
      <c r="I898" s="14">
        <v>43369</v>
      </c>
      <c r="J898" s="5">
        <v>9798</v>
      </c>
      <c r="K898" s="15">
        <v>81.73</v>
      </c>
      <c r="L898" s="15">
        <v>56.67</v>
      </c>
      <c r="M898" s="15">
        <v>800790.54</v>
      </c>
      <c r="N898" s="15">
        <v>555252.66</v>
      </c>
      <c r="O898" s="16">
        <v>245537.88</v>
      </c>
    </row>
    <row r="899" spans="2:15" ht="18.75" hidden="1" x14ac:dyDescent="0.25">
      <c r="B899" s="4" t="s">
        <v>81</v>
      </c>
      <c r="C899" s="5" t="s">
        <v>187</v>
      </c>
      <c r="D899" s="5" t="s">
        <v>78</v>
      </c>
      <c r="E899" s="5" t="s">
        <v>54</v>
      </c>
      <c r="F899" s="5" t="s">
        <v>63</v>
      </c>
      <c r="G899" s="14">
        <v>40540</v>
      </c>
      <c r="H899" s="5">
        <v>100807130</v>
      </c>
      <c r="I899" s="14">
        <v>40542</v>
      </c>
      <c r="J899" s="5">
        <v>9925</v>
      </c>
      <c r="K899" s="15">
        <v>47.45</v>
      </c>
      <c r="L899" s="15">
        <v>31.79</v>
      </c>
      <c r="M899" s="15">
        <v>470941.25</v>
      </c>
      <c r="N899" s="15">
        <v>315515.75</v>
      </c>
      <c r="O899" s="16">
        <v>155425.5</v>
      </c>
    </row>
    <row r="900" spans="2:15" ht="18.75" hidden="1" x14ac:dyDescent="0.25">
      <c r="B900" s="4" t="s">
        <v>74</v>
      </c>
      <c r="C900" s="5" t="s">
        <v>188</v>
      </c>
      <c r="D900" s="5" t="s">
        <v>65</v>
      </c>
      <c r="E900" s="5" t="s">
        <v>54</v>
      </c>
      <c r="F900" s="5" t="s">
        <v>70</v>
      </c>
      <c r="G900" s="14">
        <v>41130</v>
      </c>
      <c r="H900" s="5">
        <v>100808846</v>
      </c>
      <c r="I900" s="14">
        <v>41166</v>
      </c>
      <c r="J900" s="5">
        <v>433</v>
      </c>
      <c r="K900" s="15">
        <v>651.21</v>
      </c>
      <c r="L900" s="15">
        <v>524.96</v>
      </c>
      <c r="M900" s="15">
        <v>281973.93</v>
      </c>
      <c r="N900" s="15">
        <v>227307.68000000002</v>
      </c>
      <c r="O900" s="16">
        <v>54666.249999999971</v>
      </c>
    </row>
    <row r="901" spans="2:15" ht="18.75" hidden="1" x14ac:dyDescent="0.25">
      <c r="B901" s="4" t="s">
        <v>72</v>
      </c>
      <c r="C901" s="5" t="s">
        <v>214</v>
      </c>
      <c r="D901" s="5" t="s">
        <v>88</v>
      </c>
      <c r="E901" s="5" t="s">
        <v>54</v>
      </c>
      <c r="F901" s="5" t="s">
        <v>59</v>
      </c>
      <c r="G901" s="14">
        <v>42268</v>
      </c>
      <c r="H901" s="5">
        <v>100809276</v>
      </c>
      <c r="I901" s="14">
        <v>42299</v>
      </c>
      <c r="J901" s="5">
        <v>560</v>
      </c>
      <c r="K901" s="15">
        <v>152.58000000000001</v>
      </c>
      <c r="L901" s="15">
        <v>97.44</v>
      </c>
      <c r="M901" s="15">
        <v>85444.800000000003</v>
      </c>
      <c r="N901" s="15">
        <v>54566.400000000001</v>
      </c>
      <c r="O901" s="16">
        <v>30878.400000000001</v>
      </c>
    </row>
    <row r="902" spans="2:15" ht="18.75" hidden="1" x14ac:dyDescent="0.25">
      <c r="B902" s="4" t="s">
        <v>81</v>
      </c>
      <c r="C902" s="5" t="s">
        <v>158</v>
      </c>
      <c r="D902" s="5" t="s">
        <v>62</v>
      </c>
      <c r="E902" s="5" t="s">
        <v>54</v>
      </c>
      <c r="F902" s="5" t="s">
        <v>59</v>
      </c>
      <c r="G902" s="14">
        <v>43405</v>
      </c>
      <c r="H902" s="5">
        <v>100809705</v>
      </c>
      <c r="I902" s="14">
        <v>43432</v>
      </c>
      <c r="J902" s="5">
        <v>687</v>
      </c>
      <c r="K902" s="15">
        <v>437.2</v>
      </c>
      <c r="L902" s="15">
        <v>263.33</v>
      </c>
      <c r="M902" s="15">
        <v>300356.39999999997</v>
      </c>
      <c r="N902" s="15">
        <v>180907.71</v>
      </c>
      <c r="O902" s="16">
        <v>119448.68999999997</v>
      </c>
    </row>
    <row r="903" spans="2:15" ht="18.75" hidden="1" x14ac:dyDescent="0.25">
      <c r="B903" s="4" t="s">
        <v>60</v>
      </c>
      <c r="C903" s="5" t="s">
        <v>243</v>
      </c>
      <c r="D903" s="5" t="s">
        <v>65</v>
      </c>
      <c r="E903" s="5" t="s">
        <v>54</v>
      </c>
      <c r="F903" s="5" t="s">
        <v>70</v>
      </c>
      <c r="G903" s="14">
        <v>42311</v>
      </c>
      <c r="H903" s="5">
        <v>100812280</v>
      </c>
      <c r="I903" s="14">
        <v>42312</v>
      </c>
      <c r="J903" s="5">
        <v>1449</v>
      </c>
      <c r="K903" s="15">
        <v>651.21</v>
      </c>
      <c r="L903" s="15">
        <v>524.96</v>
      </c>
      <c r="M903" s="15">
        <v>943603.29</v>
      </c>
      <c r="N903" s="15">
        <v>760667.04</v>
      </c>
      <c r="O903" s="16">
        <v>182936.25</v>
      </c>
    </row>
    <row r="904" spans="2:15" ht="18.75" hidden="1" x14ac:dyDescent="0.25">
      <c r="B904" s="4" t="s">
        <v>81</v>
      </c>
      <c r="C904" s="5" t="s">
        <v>216</v>
      </c>
      <c r="D904" s="5" t="s">
        <v>62</v>
      </c>
      <c r="E904" s="5" t="s">
        <v>54</v>
      </c>
      <c r="F904" s="5" t="s">
        <v>59</v>
      </c>
      <c r="G904" s="14">
        <v>40626</v>
      </c>
      <c r="H904" s="5">
        <v>100813138</v>
      </c>
      <c r="I904" s="14">
        <v>40669</v>
      </c>
      <c r="J904" s="5">
        <v>1703</v>
      </c>
      <c r="K904" s="15">
        <v>437.2</v>
      </c>
      <c r="L904" s="15">
        <v>263.33</v>
      </c>
      <c r="M904" s="15">
        <v>744551.6</v>
      </c>
      <c r="N904" s="15">
        <v>448450.99</v>
      </c>
      <c r="O904" s="16">
        <v>296100.61</v>
      </c>
    </row>
    <row r="905" spans="2:15" ht="18.75" hidden="1" x14ac:dyDescent="0.25">
      <c r="B905" s="4" t="s">
        <v>60</v>
      </c>
      <c r="C905" s="5" t="s">
        <v>217</v>
      </c>
      <c r="D905" s="5" t="s">
        <v>93</v>
      </c>
      <c r="E905" s="5" t="s">
        <v>54</v>
      </c>
      <c r="F905" s="5" t="s">
        <v>63</v>
      </c>
      <c r="G905" s="14">
        <v>41764</v>
      </c>
      <c r="H905" s="5">
        <v>100813567</v>
      </c>
      <c r="I905" s="14">
        <v>41803</v>
      </c>
      <c r="J905" s="5">
        <v>1830</v>
      </c>
      <c r="K905" s="15">
        <v>81.73</v>
      </c>
      <c r="L905" s="15">
        <v>56.67</v>
      </c>
      <c r="M905" s="15">
        <v>149565.9</v>
      </c>
      <c r="N905" s="15">
        <v>103706.1</v>
      </c>
      <c r="O905" s="16">
        <v>45859.799999999988</v>
      </c>
    </row>
    <row r="906" spans="2:15" ht="18.75" hidden="1" x14ac:dyDescent="0.25">
      <c r="B906" s="4" t="s">
        <v>81</v>
      </c>
      <c r="C906" s="5" t="s">
        <v>259</v>
      </c>
      <c r="D906" s="5" t="s">
        <v>96</v>
      </c>
      <c r="E906" s="5" t="s">
        <v>54</v>
      </c>
      <c r="F906" s="5" t="s">
        <v>55</v>
      </c>
      <c r="G906" s="14">
        <v>44038</v>
      </c>
      <c r="H906" s="5">
        <v>100814425</v>
      </c>
      <c r="I906" s="14">
        <v>44068</v>
      </c>
      <c r="J906" s="5">
        <v>2084</v>
      </c>
      <c r="K906" s="15">
        <v>154.06</v>
      </c>
      <c r="L906" s="15">
        <v>90.93</v>
      </c>
      <c r="M906" s="15">
        <v>321061.03999999998</v>
      </c>
      <c r="N906" s="15">
        <v>189498.12000000002</v>
      </c>
      <c r="O906" s="16">
        <v>131562.91999999995</v>
      </c>
    </row>
    <row r="907" spans="2:15" ht="18.75" hidden="1" x14ac:dyDescent="0.25">
      <c r="B907" s="4" t="s">
        <v>72</v>
      </c>
      <c r="C907" s="5" t="s">
        <v>250</v>
      </c>
      <c r="D907" s="5" t="s">
        <v>100</v>
      </c>
      <c r="E907" s="5" t="s">
        <v>54</v>
      </c>
      <c r="F907" s="5" t="s">
        <v>70</v>
      </c>
      <c r="G907" s="14">
        <v>42354</v>
      </c>
      <c r="H907" s="5">
        <v>100815284</v>
      </c>
      <c r="I907" s="14">
        <v>42375</v>
      </c>
      <c r="J907" s="5">
        <v>2338</v>
      </c>
      <c r="K907" s="15">
        <v>205.7</v>
      </c>
      <c r="L907" s="15">
        <v>117.11</v>
      </c>
      <c r="M907" s="15">
        <v>480926.6</v>
      </c>
      <c r="N907" s="15">
        <v>273803.18</v>
      </c>
      <c r="O907" s="16">
        <v>207123.41999999998</v>
      </c>
    </row>
    <row r="908" spans="2:15" ht="18.75" hidden="1" x14ac:dyDescent="0.25">
      <c r="B908" s="4" t="s">
        <v>56</v>
      </c>
      <c r="C908" s="5" t="s">
        <v>255</v>
      </c>
      <c r="D908" s="5" t="s">
        <v>65</v>
      </c>
      <c r="E908" s="5" t="s">
        <v>54</v>
      </c>
      <c r="F908" s="5" t="s">
        <v>59</v>
      </c>
      <c r="G908" s="14">
        <v>43491</v>
      </c>
      <c r="H908" s="5">
        <v>100815713</v>
      </c>
      <c r="I908" s="14">
        <v>43508</v>
      </c>
      <c r="J908" s="5">
        <v>2465</v>
      </c>
      <c r="K908" s="15">
        <v>651.21</v>
      </c>
      <c r="L908" s="15">
        <v>524.96</v>
      </c>
      <c r="M908" s="15">
        <v>1605232.6500000001</v>
      </c>
      <c r="N908" s="15">
        <v>1294026.4000000001</v>
      </c>
      <c r="O908" s="16">
        <v>311206.25</v>
      </c>
    </row>
    <row r="909" spans="2:15" ht="18.75" hidden="1" x14ac:dyDescent="0.25">
      <c r="B909" s="4" t="s">
        <v>60</v>
      </c>
      <c r="C909" s="5" t="s">
        <v>252</v>
      </c>
      <c r="D909" s="5" t="s">
        <v>68</v>
      </c>
      <c r="E909" s="5" t="s">
        <v>54</v>
      </c>
      <c r="F909" s="5" t="s">
        <v>70</v>
      </c>
      <c r="G909" s="14">
        <v>42397</v>
      </c>
      <c r="H909" s="5">
        <v>100818288</v>
      </c>
      <c r="I909" s="14">
        <v>42439</v>
      </c>
      <c r="J909" s="5">
        <v>3227</v>
      </c>
      <c r="K909" s="15">
        <v>109.28</v>
      </c>
      <c r="L909" s="15">
        <v>35.840000000000003</v>
      </c>
      <c r="M909" s="15">
        <v>352646.56</v>
      </c>
      <c r="N909" s="15">
        <v>115655.68000000001</v>
      </c>
      <c r="O909" s="16">
        <v>236990.88</v>
      </c>
    </row>
    <row r="910" spans="2:15" ht="18.75" hidden="1" x14ac:dyDescent="0.25">
      <c r="B910" s="4" t="s">
        <v>81</v>
      </c>
      <c r="C910" s="5" t="s">
        <v>169</v>
      </c>
      <c r="D910" s="5" t="s">
        <v>76</v>
      </c>
      <c r="E910" s="5" t="s">
        <v>54</v>
      </c>
      <c r="F910" s="5" t="s">
        <v>59</v>
      </c>
      <c r="G910" s="14">
        <v>41893</v>
      </c>
      <c r="H910" s="5">
        <v>100822579</v>
      </c>
      <c r="I910" s="14">
        <v>41942</v>
      </c>
      <c r="J910" s="5">
        <v>4497</v>
      </c>
      <c r="K910" s="15">
        <v>421.89</v>
      </c>
      <c r="L910" s="15">
        <v>364.69</v>
      </c>
      <c r="M910" s="15">
        <v>1897239.3299999998</v>
      </c>
      <c r="N910" s="15">
        <v>1640010.93</v>
      </c>
      <c r="O910" s="16">
        <v>257228.39999999991</v>
      </c>
    </row>
    <row r="911" spans="2:15" ht="18.75" hidden="1" x14ac:dyDescent="0.25">
      <c r="B911" s="4" t="s">
        <v>60</v>
      </c>
      <c r="C911" s="5" t="s">
        <v>228</v>
      </c>
      <c r="D911" s="5" t="s">
        <v>88</v>
      </c>
      <c r="E911" s="5" t="s">
        <v>54</v>
      </c>
      <c r="F911" s="5" t="s">
        <v>63</v>
      </c>
      <c r="G911" s="14">
        <v>43030</v>
      </c>
      <c r="H911" s="5">
        <v>100823009</v>
      </c>
      <c r="I911" s="14">
        <v>43075</v>
      </c>
      <c r="J911" s="5">
        <v>4624</v>
      </c>
      <c r="K911" s="15">
        <v>152.58000000000001</v>
      </c>
      <c r="L911" s="15">
        <v>97.44</v>
      </c>
      <c r="M911" s="15">
        <v>705529.92</v>
      </c>
      <c r="N911" s="15">
        <v>450562.56</v>
      </c>
      <c r="O911" s="16">
        <v>254967.36000000004</v>
      </c>
    </row>
    <row r="912" spans="2:15" ht="18.75" hidden="1" x14ac:dyDescent="0.25">
      <c r="B912" s="4" t="s">
        <v>81</v>
      </c>
      <c r="C912" s="5" t="s">
        <v>171</v>
      </c>
      <c r="D912" s="5" t="s">
        <v>93</v>
      </c>
      <c r="E912" s="5" t="s">
        <v>54</v>
      </c>
      <c r="F912" s="5" t="s">
        <v>55</v>
      </c>
      <c r="G912" s="14">
        <v>41346</v>
      </c>
      <c r="H912" s="5">
        <v>100823867</v>
      </c>
      <c r="I912" s="14">
        <v>41382</v>
      </c>
      <c r="J912" s="5">
        <v>4878</v>
      </c>
      <c r="K912" s="15">
        <v>81.73</v>
      </c>
      <c r="L912" s="15">
        <v>56.67</v>
      </c>
      <c r="M912" s="15">
        <v>398678.94</v>
      </c>
      <c r="N912" s="15">
        <v>276436.26</v>
      </c>
      <c r="O912" s="16">
        <v>122242.68</v>
      </c>
    </row>
    <row r="913" spans="2:15" ht="18.75" hidden="1" x14ac:dyDescent="0.25">
      <c r="B913" s="4" t="s">
        <v>60</v>
      </c>
      <c r="C913" s="5" t="s">
        <v>172</v>
      </c>
      <c r="D913" s="5" t="s">
        <v>58</v>
      </c>
      <c r="E913" s="5" t="s">
        <v>54</v>
      </c>
      <c r="F913" s="5" t="s">
        <v>70</v>
      </c>
      <c r="G913" s="14">
        <v>42483</v>
      </c>
      <c r="H913" s="5">
        <v>100824296</v>
      </c>
      <c r="I913" s="14">
        <v>42515</v>
      </c>
      <c r="J913" s="5">
        <v>5005</v>
      </c>
      <c r="K913" s="15">
        <v>255.28</v>
      </c>
      <c r="L913" s="15">
        <v>159.41999999999999</v>
      </c>
      <c r="M913" s="15">
        <v>1277676.3999999999</v>
      </c>
      <c r="N913" s="15">
        <v>797897.1</v>
      </c>
      <c r="O913" s="16">
        <v>479779.29999999993</v>
      </c>
    </row>
    <row r="914" spans="2:15" ht="18.75" hidden="1" x14ac:dyDescent="0.25">
      <c r="B914" s="4" t="s">
        <v>81</v>
      </c>
      <c r="C914" s="5" t="s">
        <v>110</v>
      </c>
      <c r="D914" s="5" t="s">
        <v>68</v>
      </c>
      <c r="E914" s="5" t="s">
        <v>54</v>
      </c>
      <c r="F914" s="5" t="s">
        <v>59</v>
      </c>
      <c r="G914" s="14">
        <v>40799</v>
      </c>
      <c r="H914" s="5">
        <v>100825154</v>
      </c>
      <c r="I914" s="14">
        <v>40822</v>
      </c>
      <c r="J914" s="5">
        <v>5259</v>
      </c>
      <c r="K914" s="15">
        <v>109.28</v>
      </c>
      <c r="L914" s="15">
        <v>35.840000000000003</v>
      </c>
      <c r="M914" s="15">
        <v>574703.52</v>
      </c>
      <c r="N914" s="15">
        <v>188482.56000000003</v>
      </c>
      <c r="O914" s="16">
        <v>386220.95999999996</v>
      </c>
    </row>
    <row r="915" spans="2:15" ht="18.75" hidden="1" x14ac:dyDescent="0.25">
      <c r="B915" s="4" t="s">
        <v>74</v>
      </c>
      <c r="C915" s="5" t="s">
        <v>220</v>
      </c>
      <c r="D915" s="5" t="s">
        <v>100</v>
      </c>
      <c r="E915" s="5" t="s">
        <v>54</v>
      </c>
      <c r="F915" s="5" t="s">
        <v>59</v>
      </c>
      <c r="G915" s="14">
        <v>41936</v>
      </c>
      <c r="H915" s="5">
        <v>100825583</v>
      </c>
      <c r="I915" s="14">
        <v>41955</v>
      </c>
      <c r="J915" s="5">
        <v>5386</v>
      </c>
      <c r="K915" s="15">
        <v>205.7</v>
      </c>
      <c r="L915" s="15">
        <v>117.11</v>
      </c>
      <c r="M915" s="15">
        <v>1107900.2</v>
      </c>
      <c r="N915" s="15">
        <v>630754.46</v>
      </c>
      <c r="O915" s="16">
        <v>477145.74</v>
      </c>
    </row>
    <row r="916" spans="2:15" ht="18.75" hidden="1" x14ac:dyDescent="0.25">
      <c r="B916" s="4" t="s">
        <v>51</v>
      </c>
      <c r="C916" s="5" t="s">
        <v>114</v>
      </c>
      <c r="D916" s="5" t="s">
        <v>96</v>
      </c>
      <c r="E916" s="5" t="s">
        <v>54</v>
      </c>
      <c r="F916" s="5" t="s">
        <v>59</v>
      </c>
      <c r="G916" s="14">
        <v>40842</v>
      </c>
      <c r="H916" s="5">
        <v>100828158</v>
      </c>
      <c r="I916" s="14">
        <v>40886</v>
      </c>
      <c r="J916" s="5">
        <v>6148</v>
      </c>
      <c r="K916" s="15">
        <v>154.06</v>
      </c>
      <c r="L916" s="15">
        <v>90.93</v>
      </c>
      <c r="M916" s="15">
        <v>947160.88</v>
      </c>
      <c r="N916" s="15">
        <v>559037.64</v>
      </c>
      <c r="O916" s="16">
        <v>388123.24</v>
      </c>
    </row>
    <row r="917" spans="2:15" ht="18.75" hidden="1" x14ac:dyDescent="0.25">
      <c r="B917" s="4" t="s">
        <v>81</v>
      </c>
      <c r="C917" s="5" t="s">
        <v>115</v>
      </c>
      <c r="D917" s="5" t="s">
        <v>68</v>
      </c>
      <c r="E917" s="5" t="s">
        <v>54</v>
      </c>
      <c r="F917" s="5" t="s">
        <v>59</v>
      </c>
      <c r="G917" s="14">
        <v>41979</v>
      </c>
      <c r="H917" s="5">
        <v>100828588</v>
      </c>
      <c r="I917" s="14">
        <v>42018</v>
      </c>
      <c r="J917" s="5">
        <v>6275</v>
      </c>
      <c r="K917" s="15">
        <v>109.28</v>
      </c>
      <c r="L917" s="15">
        <v>35.840000000000003</v>
      </c>
      <c r="M917" s="15">
        <v>685732</v>
      </c>
      <c r="N917" s="15">
        <v>224896.00000000003</v>
      </c>
      <c r="O917" s="16">
        <v>460836</v>
      </c>
    </row>
    <row r="918" spans="2:15" ht="18.75" hidden="1" x14ac:dyDescent="0.25">
      <c r="B918" s="4" t="s">
        <v>60</v>
      </c>
      <c r="C918" s="5" t="s">
        <v>254</v>
      </c>
      <c r="D918" s="5" t="s">
        <v>100</v>
      </c>
      <c r="E918" s="5" t="s">
        <v>54</v>
      </c>
      <c r="F918" s="5" t="s">
        <v>63</v>
      </c>
      <c r="G918" s="14">
        <v>43117</v>
      </c>
      <c r="H918" s="5">
        <v>100829017</v>
      </c>
      <c r="I918" s="14">
        <v>43152</v>
      </c>
      <c r="J918" s="5">
        <v>6402</v>
      </c>
      <c r="K918" s="15">
        <v>205.7</v>
      </c>
      <c r="L918" s="15">
        <v>117.11</v>
      </c>
      <c r="M918" s="15">
        <v>1316891.3999999999</v>
      </c>
      <c r="N918" s="15">
        <v>749738.22</v>
      </c>
      <c r="O918" s="16">
        <v>567153.17999999993</v>
      </c>
    </row>
    <row r="919" spans="2:15" ht="18.75" hidden="1" x14ac:dyDescent="0.25">
      <c r="B919" s="4" t="s">
        <v>72</v>
      </c>
      <c r="C919" s="5" t="s">
        <v>175</v>
      </c>
      <c r="D919" s="5" t="s">
        <v>93</v>
      </c>
      <c r="E919" s="5" t="s">
        <v>54</v>
      </c>
      <c r="F919" s="5" t="s">
        <v>70</v>
      </c>
      <c r="G919" s="14">
        <v>43707</v>
      </c>
      <c r="H919" s="5">
        <v>100830733</v>
      </c>
      <c r="I919" s="14">
        <v>43725</v>
      </c>
      <c r="J919" s="5">
        <v>6910</v>
      </c>
      <c r="K919" s="15">
        <v>81.73</v>
      </c>
      <c r="L919" s="15">
        <v>56.67</v>
      </c>
      <c r="M919" s="15">
        <v>564754.30000000005</v>
      </c>
      <c r="N919" s="15">
        <v>391589.7</v>
      </c>
      <c r="O919" s="16">
        <v>173164.60000000003</v>
      </c>
    </row>
    <row r="920" spans="2:15" ht="18.75" hidden="1" x14ac:dyDescent="0.25">
      <c r="B920" s="4" t="s">
        <v>51</v>
      </c>
      <c r="C920" s="5" t="s">
        <v>52</v>
      </c>
      <c r="D920" s="5" t="s">
        <v>96</v>
      </c>
      <c r="E920" s="5" t="s">
        <v>54</v>
      </c>
      <c r="F920" s="5" t="s">
        <v>59</v>
      </c>
      <c r="G920" s="14">
        <v>42023</v>
      </c>
      <c r="H920" s="5">
        <v>100831592</v>
      </c>
      <c r="I920" s="14">
        <v>42032</v>
      </c>
      <c r="J920" s="5">
        <v>7164</v>
      </c>
      <c r="K920" s="15">
        <v>154.06</v>
      </c>
      <c r="L920" s="15">
        <v>90.93</v>
      </c>
      <c r="M920" s="15">
        <v>1103685.8400000001</v>
      </c>
      <c r="N920" s="15">
        <v>651422.52</v>
      </c>
      <c r="O920" s="16">
        <v>452263.32000000007</v>
      </c>
    </row>
    <row r="921" spans="2:15" ht="18.75" hidden="1" x14ac:dyDescent="0.25">
      <c r="B921" s="4" t="s">
        <v>60</v>
      </c>
      <c r="C921" s="5" t="s">
        <v>120</v>
      </c>
      <c r="D921" s="5" t="s">
        <v>100</v>
      </c>
      <c r="E921" s="5" t="s">
        <v>54</v>
      </c>
      <c r="F921" s="5" t="s">
        <v>63</v>
      </c>
      <c r="G921" s="14">
        <v>40338</v>
      </c>
      <c r="H921" s="5">
        <v>100832450</v>
      </c>
      <c r="I921" s="14">
        <v>40338</v>
      </c>
      <c r="J921" s="5">
        <v>7417</v>
      </c>
      <c r="K921" s="15">
        <v>205.7</v>
      </c>
      <c r="L921" s="15">
        <v>117.11</v>
      </c>
      <c r="M921" s="15">
        <v>1525676.9</v>
      </c>
      <c r="N921" s="15">
        <v>868604.87</v>
      </c>
      <c r="O921" s="16">
        <v>657072.02999999991</v>
      </c>
    </row>
    <row r="922" spans="2:15" ht="18.75" hidden="1" x14ac:dyDescent="0.25">
      <c r="B922" s="4" t="s">
        <v>51</v>
      </c>
      <c r="C922" s="5" t="s">
        <v>122</v>
      </c>
      <c r="D922" s="5" t="s">
        <v>93</v>
      </c>
      <c r="E922" s="5" t="s">
        <v>54</v>
      </c>
      <c r="F922" s="5" t="s">
        <v>70</v>
      </c>
      <c r="G922" s="14">
        <v>40929</v>
      </c>
      <c r="H922" s="5">
        <v>100834167</v>
      </c>
      <c r="I922" s="14">
        <v>40963</v>
      </c>
      <c r="J922" s="5">
        <v>7925</v>
      </c>
      <c r="K922" s="15">
        <v>81.73</v>
      </c>
      <c r="L922" s="15">
        <v>56.67</v>
      </c>
      <c r="M922" s="15">
        <v>647710.25</v>
      </c>
      <c r="N922" s="15">
        <v>449109.75</v>
      </c>
      <c r="O922" s="16">
        <v>198600.5</v>
      </c>
    </row>
    <row r="923" spans="2:15" ht="18.75" hidden="1" x14ac:dyDescent="0.25">
      <c r="B923" s="4" t="s">
        <v>74</v>
      </c>
      <c r="C923" s="5" t="s">
        <v>178</v>
      </c>
      <c r="D923" s="5" t="s">
        <v>96</v>
      </c>
      <c r="E923" s="5" t="s">
        <v>54</v>
      </c>
      <c r="F923" s="5" t="s">
        <v>59</v>
      </c>
      <c r="G923" s="14">
        <v>43203</v>
      </c>
      <c r="H923" s="5">
        <v>100835025</v>
      </c>
      <c r="I923" s="14">
        <v>43228</v>
      </c>
      <c r="J923" s="5">
        <v>8179</v>
      </c>
      <c r="K923" s="15">
        <v>154.06</v>
      </c>
      <c r="L923" s="15">
        <v>90.93</v>
      </c>
      <c r="M923" s="15">
        <v>1260056.74</v>
      </c>
      <c r="N923" s="15">
        <v>743716.47000000009</v>
      </c>
      <c r="O923" s="16">
        <v>516340.2699999999</v>
      </c>
    </row>
    <row r="924" spans="2:15" ht="18.75" hidden="1" x14ac:dyDescent="0.25">
      <c r="B924" s="4" t="s">
        <v>72</v>
      </c>
      <c r="C924" s="5" t="s">
        <v>245</v>
      </c>
      <c r="D924" s="5" t="s">
        <v>68</v>
      </c>
      <c r="E924" s="5" t="s">
        <v>54</v>
      </c>
      <c r="F924" s="5" t="s">
        <v>63</v>
      </c>
      <c r="G924" s="14">
        <v>40381</v>
      </c>
      <c r="H924" s="5">
        <v>100835454</v>
      </c>
      <c r="I924" s="14">
        <v>40402</v>
      </c>
      <c r="J924" s="5">
        <v>8306</v>
      </c>
      <c r="K924" s="15">
        <v>109.28</v>
      </c>
      <c r="L924" s="15">
        <v>35.840000000000003</v>
      </c>
      <c r="M924" s="15">
        <v>907679.68</v>
      </c>
      <c r="N924" s="15">
        <v>297687.04000000004</v>
      </c>
      <c r="O924" s="16">
        <v>609992.64</v>
      </c>
    </row>
    <row r="925" spans="2:15" ht="18.75" hidden="1" x14ac:dyDescent="0.25">
      <c r="B925" s="4" t="s">
        <v>56</v>
      </c>
      <c r="C925" s="5" t="s">
        <v>246</v>
      </c>
      <c r="D925" s="5" t="s">
        <v>100</v>
      </c>
      <c r="E925" s="5" t="s">
        <v>54</v>
      </c>
      <c r="F925" s="5" t="s">
        <v>63</v>
      </c>
      <c r="G925" s="14">
        <v>41519</v>
      </c>
      <c r="H925" s="5">
        <v>100835883</v>
      </c>
      <c r="I925" s="14">
        <v>41535</v>
      </c>
      <c r="J925" s="5">
        <v>8433</v>
      </c>
      <c r="K925" s="15">
        <v>205.7</v>
      </c>
      <c r="L925" s="15">
        <v>117.11</v>
      </c>
      <c r="M925" s="15">
        <v>1734668.0999999999</v>
      </c>
      <c r="N925" s="15">
        <v>987588.63</v>
      </c>
      <c r="O925" s="16">
        <v>747079.46999999986</v>
      </c>
    </row>
    <row r="926" spans="2:15" ht="18.75" hidden="1" x14ac:dyDescent="0.25">
      <c r="B926" s="4" t="s">
        <v>51</v>
      </c>
      <c r="C926" s="5" t="s">
        <v>64</v>
      </c>
      <c r="D926" s="5" t="s">
        <v>76</v>
      </c>
      <c r="E926" s="5" t="s">
        <v>54</v>
      </c>
      <c r="F926" s="5" t="s">
        <v>55</v>
      </c>
      <c r="G926" s="14">
        <v>42656</v>
      </c>
      <c r="H926" s="5">
        <v>100836312</v>
      </c>
      <c r="I926" s="14">
        <v>42668</v>
      </c>
      <c r="J926" s="5">
        <v>8560</v>
      </c>
      <c r="K926" s="15">
        <v>421.89</v>
      </c>
      <c r="L926" s="15">
        <v>364.69</v>
      </c>
      <c r="M926" s="15">
        <v>3611378.4</v>
      </c>
      <c r="N926" s="15">
        <v>3121746.4</v>
      </c>
      <c r="O926" s="16">
        <v>489632</v>
      </c>
    </row>
    <row r="927" spans="2:15" ht="18.75" hidden="1" x14ac:dyDescent="0.25">
      <c r="B927" s="4" t="s">
        <v>81</v>
      </c>
      <c r="C927" s="5" t="s">
        <v>179</v>
      </c>
      <c r="D927" s="5" t="s">
        <v>58</v>
      </c>
      <c r="E927" s="5" t="s">
        <v>54</v>
      </c>
      <c r="F927" s="5" t="s">
        <v>59</v>
      </c>
      <c r="G927" s="14">
        <v>43246</v>
      </c>
      <c r="H927" s="5">
        <v>100838029</v>
      </c>
      <c r="I927" s="14">
        <v>43291</v>
      </c>
      <c r="J927" s="5">
        <v>9068</v>
      </c>
      <c r="K927" s="15">
        <v>255.28</v>
      </c>
      <c r="L927" s="15">
        <v>159.41999999999999</v>
      </c>
      <c r="M927" s="15">
        <v>2314879.04</v>
      </c>
      <c r="N927" s="15">
        <v>1445620.5599999998</v>
      </c>
      <c r="O927" s="16">
        <v>869258.48000000021</v>
      </c>
    </row>
    <row r="928" spans="2:15" ht="18.75" hidden="1" x14ac:dyDescent="0.25">
      <c r="B928" s="4" t="s">
        <v>81</v>
      </c>
      <c r="C928" s="5" t="s">
        <v>129</v>
      </c>
      <c r="D928" s="5" t="s">
        <v>62</v>
      </c>
      <c r="E928" s="5" t="s">
        <v>54</v>
      </c>
      <c r="F928" s="5" t="s">
        <v>55</v>
      </c>
      <c r="G928" s="14">
        <v>42699</v>
      </c>
      <c r="H928" s="5">
        <v>100839316</v>
      </c>
      <c r="I928" s="14">
        <v>42731</v>
      </c>
      <c r="J928" s="5">
        <v>9449</v>
      </c>
      <c r="K928" s="15">
        <v>437.2</v>
      </c>
      <c r="L928" s="15">
        <v>263.33</v>
      </c>
      <c r="M928" s="15">
        <v>4131102.8</v>
      </c>
      <c r="N928" s="15">
        <v>2488205.17</v>
      </c>
      <c r="O928" s="16">
        <v>1642897.63</v>
      </c>
    </row>
    <row r="929" spans="2:15" ht="18.75" x14ac:dyDescent="0.25">
      <c r="B929" s="4" t="s">
        <v>60</v>
      </c>
      <c r="C929" s="5" t="s">
        <v>71</v>
      </c>
      <c r="D929" s="5" t="s">
        <v>76</v>
      </c>
      <c r="E929" s="5" t="s">
        <v>54</v>
      </c>
      <c r="F929" s="5" t="s">
        <v>55</v>
      </c>
      <c r="G929" s="14">
        <v>43837</v>
      </c>
      <c r="H929" s="5">
        <v>100839745</v>
      </c>
      <c r="I929" s="14">
        <v>43865</v>
      </c>
      <c r="J929" s="5">
        <v>9576</v>
      </c>
      <c r="K929" s="15">
        <v>421.89</v>
      </c>
      <c r="L929" s="15">
        <v>364.69</v>
      </c>
      <c r="M929" s="15">
        <v>4040018.6399999997</v>
      </c>
      <c r="N929" s="15">
        <v>3492271.44</v>
      </c>
      <c r="O929" s="16">
        <v>547747.19999999972</v>
      </c>
    </row>
    <row r="930" spans="2:15" ht="18.75" hidden="1" x14ac:dyDescent="0.25">
      <c r="B930" s="4" t="s">
        <v>72</v>
      </c>
      <c r="C930" s="5" t="s">
        <v>73</v>
      </c>
      <c r="D930" s="5" t="s">
        <v>78</v>
      </c>
      <c r="E930" s="5" t="s">
        <v>54</v>
      </c>
      <c r="F930" s="5" t="s">
        <v>70</v>
      </c>
      <c r="G930" s="14">
        <v>41015</v>
      </c>
      <c r="H930" s="5">
        <v>100840175</v>
      </c>
      <c r="I930" s="14">
        <v>41039</v>
      </c>
      <c r="J930" s="5">
        <v>9703</v>
      </c>
      <c r="K930" s="15">
        <v>47.45</v>
      </c>
      <c r="L930" s="15">
        <v>31.79</v>
      </c>
      <c r="M930" s="15">
        <v>460407.35000000003</v>
      </c>
      <c r="N930" s="15">
        <v>308458.37</v>
      </c>
      <c r="O930" s="16">
        <v>151948.98000000004</v>
      </c>
    </row>
    <row r="931" spans="2:15" ht="18.75" hidden="1" x14ac:dyDescent="0.25">
      <c r="B931" s="4" t="s">
        <v>81</v>
      </c>
      <c r="C931" s="5" t="s">
        <v>181</v>
      </c>
      <c r="D931" s="5" t="s">
        <v>53</v>
      </c>
      <c r="E931" s="5" t="s">
        <v>54</v>
      </c>
      <c r="F931" s="5" t="s">
        <v>70</v>
      </c>
      <c r="G931" s="14">
        <v>42152</v>
      </c>
      <c r="H931" s="5">
        <v>100840604</v>
      </c>
      <c r="I931" s="14">
        <v>42171</v>
      </c>
      <c r="J931" s="5">
        <v>9830</v>
      </c>
      <c r="K931" s="15">
        <v>9.33</v>
      </c>
      <c r="L931" s="15">
        <v>6.92</v>
      </c>
      <c r="M931" s="15">
        <v>91713.9</v>
      </c>
      <c r="N931" s="15">
        <v>68023.600000000006</v>
      </c>
      <c r="O931" s="16">
        <v>23690.299999999988</v>
      </c>
    </row>
    <row r="932" spans="2:15" ht="18.75" hidden="1" x14ac:dyDescent="0.25">
      <c r="B932" s="4" t="s">
        <v>74</v>
      </c>
      <c r="C932" s="5" t="s">
        <v>75</v>
      </c>
      <c r="D932" s="5" t="s">
        <v>80</v>
      </c>
      <c r="E932" s="5" t="s">
        <v>54</v>
      </c>
      <c r="F932" s="5" t="s">
        <v>59</v>
      </c>
      <c r="G932" s="14">
        <v>43289</v>
      </c>
      <c r="H932" s="5">
        <v>100841033</v>
      </c>
      <c r="I932" s="14">
        <v>43304</v>
      </c>
      <c r="J932" s="5">
        <v>9957</v>
      </c>
      <c r="K932" s="15">
        <v>668.27</v>
      </c>
      <c r="L932" s="15">
        <v>502.54</v>
      </c>
      <c r="M932" s="15">
        <v>6653964.3899999997</v>
      </c>
      <c r="N932" s="15">
        <v>5003790.78</v>
      </c>
      <c r="O932" s="16">
        <v>1650173.6099999994</v>
      </c>
    </row>
    <row r="933" spans="2:15" ht="18.75" hidden="1" x14ac:dyDescent="0.25">
      <c r="B933" s="4" t="s">
        <v>72</v>
      </c>
      <c r="C933" s="5" t="s">
        <v>77</v>
      </c>
      <c r="D933" s="5" t="s">
        <v>58</v>
      </c>
      <c r="E933" s="5" t="s">
        <v>54</v>
      </c>
      <c r="F933" s="5" t="s">
        <v>59</v>
      </c>
      <c r="G933" s="14">
        <v>40468</v>
      </c>
      <c r="H933" s="5">
        <v>100841462</v>
      </c>
      <c r="I933" s="14">
        <v>40479</v>
      </c>
      <c r="J933" s="5">
        <v>84</v>
      </c>
      <c r="K933" s="15">
        <v>255.28</v>
      </c>
      <c r="L933" s="15">
        <v>159.41999999999999</v>
      </c>
      <c r="M933" s="15">
        <v>21443.52</v>
      </c>
      <c r="N933" s="15">
        <v>13391.279999999999</v>
      </c>
      <c r="O933" s="16">
        <v>8052.2400000000016</v>
      </c>
    </row>
    <row r="934" spans="2:15" ht="18.75" hidden="1" x14ac:dyDescent="0.25">
      <c r="B934" s="4" t="s">
        <v>51</v>
      </c>
      <c r="C934" s="5" t="s">
        <v>79</v>
      </c>
      <c r="D934" s="5" t="s">
        <v>68</v>
      </c>
      <c r="E934" s="5" t="s">
        <v>54</v>
      </c>
      <c r="F934" s="5" t="s">
        <v>63</v>
      </c>
      <c r="G934" s="14">
        <v>42742</v>
      </c>
      <c r="H934" s="5">
        <v>100842320</v>
      </c>
      <c r="I934" s="14">
        <v>42744</v>
      </c>
      <c r="J934" s="5">
        <v>338</v>
      </c>
      <c r="K934" s="15">
        <v>109.28</v>
      </c>
      <c r="L934" s="15">
        <v>35.840000000000003</v>
      </c>
      <c r="M934" s="15">
        <v>36936.639999999999</v>
      </c>
      <c r="N934" s="15">
        <v>12113.920000000002</v>
      </c>
      <c r="O934" s="16">
        <v>24822.719999999998</v>
      </c>
    </row>
    <row r="935" spans="2:15" ht="18.75" hidden="1" x14ac:dyDescent="0.25">
      <c r="B935" s="4" t="s">
        <v>60</v>
      </c>
      <c r="C935" s="5" t="s">
        <v>232</v>
      </c>
      <c r="D935" s="5" t="s">
        <v>76</v>
      </c>
      <c r="E935" s="5" t="s">
        <v>54</v>
      </c>
      <c r="F935" s="5" t="s">
        <v>70</v>
      </c>
      <c r="G935" s="14">
        <v>41058</v>
      </c>
      <c r="H935" s="5">
        <v>100843179</v>
      </c>
      <c r="I935" s="14">
        <v>41102</v>
      </c>
      <c r="J935" s="5">
        <v>592</v>
      </c>
      <c r="K935" s="15">
        <v>421.89</v>
      </c>
      <c r="L935" s="15">
        <v>364.69</v>
      </c>
      <c r="M935" s="15">
        <v>249758.88</v>
      </c>
      <c r="N935" s="15">
        <v>215896.48</v>
      </c>
      <c r="O935" s="16">
        <v>33862.399999999994</v>
      </c>
    </row>
    <row r="936" spans="2:15" ht="18.75" hidden="1" x14ac:dyDescent="0.25">
      <c r="B936" s="4" t="s">
        <v>51</v>
      </c>
      <c r="C936" s="5" t="s">
        <v>83</v>
      </c>
      <c r="D936" s="5" t="s">
        <v>78</v>
      </c>
      <c r="E936" s="5" t="s">
        <v>54</v>
      </c>
      <c r="F936" s="5" t="s">
        <v>70</v>
      </c>
      <c r="G936" s="14">
        <v>42195</v>
      </c>
      <c r="H936" s="5">
        <v>100843608</v>
      </c>
      <c r="I936" s="14">
        <v>42235</v>
      </c>
      <c r="J936" s="5">
        <v>719</v>
      </c>
      <c r="K936" s="15">
        <v>47.45</v>
      </c>
      <c r="L936" s="15">
        <v>31.79</v>
      </c>
      <c r="M936" s="15">
        <v>34116.550000000003</v>
      </c>
      <c r="N936" s="15">
        <v>22857.01</v>
      </c>
      <c r="O936" s="16">
        <v>11259.540000000005</v>
      </c>
    </row>
    <row r="937" spans="2:15" ht="18.75" hidden="1" x14ac:dyDescent="0.25">
      <c r="B937" s="4" t="s">
        <v>81</v>
      </c>
      <c r="C937" s="5" t="s">
        <v>84</v>
      </c>
      <c r="D937" s="5" t="s">
        <v>53</v>
      </c>
      <c r="E937" s="5" t="s">
        <v>54</v>
      </c>
      <c r="F937" s="5" t="s">
        <v>59</v>
      </c>
      <c r="G937" s="14">
        <v>43333</v>
      </c>
      <c r="H937" s="5">
        <v>100844037</v>
      </c>
      <c r="I937" s="14">
        <v>43368</v>
      </c>
      <c r="J937" s="5">
        <v>846</v>
      </c>
      <c r="K937" s="15">
        <v>9.33</v>
      </c>
      <c r="L937" s="15">
        <v>6.92</v>
      </c>
      <c r="M937" s="15">
        <v>7893.18</v>
      </c>
      <c r="N937" s="15">
        <v>5854.32</v>
      </c>
      <c r="O937" s="16">
        <v>2038.8600000000006</v>
      </c>
    </row>
    <row r="938" spans="2:15" ht="18.75" hidden="1" x14ac:dyDescent="0.25">
      <c r="B938" s="4" t="s">
        <v>81</v>
      </c>
      <c r="C938" s="5" t="s">
        <v>85</v>
      </c>
      <c r="D938" s="5" t="s">
        <v>65</v>
      </c>
      <c r="E938" s="5" t="s">
        <v>54</v>
      </c>
      <c r="F938" s="5" t="s">
        <v>63</v>
      </c>
      <c r="G938" s="14">
        <v>42786</v>
      </c>
      <c r="H938" s="5">
        <v>100845324</v>
      </c>
      <c r="I938" s="14">
        <v>42808</v>
      </c>
      <c r="J938" s="5">
        <v>1227</v>
      </c>
      <c r="K938" s="15">
        <v>651.21</v>
      </c>
      <c r="L938" s="15">
        <v>524.96</v>
      </c>
      <c r="M938" s="15">
        <v>799034.67</v>
      </c>
      <c r="N938" s="15">
        <v>644125.92000000004</v>
      </c>
      <c r="O938" s="16">
        <v>154908.75</v>
      </c>
    </row>
    <row r="939" spans="2:15" ht="18.75" hidden="1" x14ac:dyDescent="0.25">
      <c r="B939" s="4" t="s">
        <v>51</v>
      </c>
      <c r="C939" s="5" t="s">
        <v>144</v>
      </c>
      <c r="D939" s="5" t="s">
        <v>58</v>
      </c>
      <c r="E939" s="5" t="s">
        <v>54</v>
      </c>
      <c r="F939" s="5" t="s">
        <v>63</v>
      </c>
      <c r="G939" s="14">
        <v>42829</v>
      </c>
      <c r="H939" s="5">
        <v>100848329</v>
      </c>
      <c r="I939" s="14">
        <v>42872</v>
      </c>
      <c r="J939" s="5">
        <v>2116</v>
      </c>
      <c r="K939" s="15">
        <v>255.28</v>
      </c>
      <c r="L939" s="15">
        <v>159.41999999999999</v>
      </c>
      <c r="M939" s="15">
        <v>540172.48</v>
      </c>
      <c r="N939" s="15">
        <v>337332.72</v>
      </c>
      <c r="O939" s="16">
        <v>202839.76</v>
      </c>
    </row>
    <row r="940" spans="2:15" ht="18.75" hidden="1" x14ac:dyDescent="0.25">
      <c r="B940" s="4" t="s">
        <v>60</v>
      </c>
      <c r="C940" s="5" t="s">
        <v>90</v>
      </c>
      <c r="D940" s="5" t="s">
        <v>68</v>
      </c>
      <c r="E940" s="5" t="s">
        <v>54</v>
      </c>
      <c r="F940" s="5" t="s">
        <v>55</v>
      </c>
      <c r="G940" s="14">
        <v>41144</v>
      </c>
      <c r="H940" s="5">
        <v>100849187</v>
      </c>
      <c r="I940" s="14">
        <v>41178</v>
      </c>
      <c r="J940" s="5">
        <v>2370</v>
      </c>
      <c r="K940" s="15">
        <v>109.28</v>
      </c>
      <c r="L940" s="15">
        <v>35.840000000000003</v>
      </c>
      <c r="M940" s="15">
        <v>258993.6</v>
      </c>
      <c r="N940" s="15">
        <v>84940.800000000003</v>
      </c>
      <c r="O940" s="16">
        <v>174052.8</v>
      </c>
    </row>
    <row r="941" spans="2:15" ht="18.75" hidden="1" x14ac:dyDescent="0.25">
      <c r="B941" s="4" t="s">
        <v>51</v>
      </c>
      <c r="C941" s="5" t="s">
        <v>205</v>
      </c>
      <c r="D941" s="5" t="s">
        <v>62</v>
      </c>
      <c r="E941" s="5" t="s">
        <v>54</v>
      </c>
      <c r="F941" s="5" t="s">
        <v>70</v>
      </c>
      <c r="G941" s="14">
        <v>42282</v>
      </c>
      <c r="H941" s="5">
        <v>100849616</v>
      </c>
      <c r="I941" s="14">
        <v>42312</v>
      </c>
      <c r="J941" s="5">
        <v>2497</v>
      </c>
      <c r="K941" s="15">
        <v>437.2</v>
      </c>
      <c r="L941" s="15">
        <v>263.33</v>
      </c>
      <c r="M941" s="15">
        <v>1091688.3999999999</v>
      </c>
      <c r="N941" s="15">
        <v>657535.01</v>
      </c>
      <c r="O941" s="16">
        <v>434153.3899999999</v>
      </c>
    </row>
    <row r="942" spans="2:15" ht="18.75" hidden="1" x14ac:dyDescent="0.25">
      <c r="B942" s="4" t="s">
        <v>74</v>
      </c>
      <c r="C942" s="5" t="s">
        <v>188</v>
      </c>
      <c r="D942" s="5" t="s">
        <v>78</v>
      </c>
      <c r="E942" s="5" t="s">
        <v>54</v>
      </c>
      <c r="F942" s="5" t="s">
        <v>59</v>
      </c>
      <c r="G942" s="14">
        <v>40597</v>
      </c>
      <c r="H942" s="5">
        <v>100850474</v>
      </c>
      <c r="I942" s="14">
        <v>40618</v>
      </c>
      <c r="J942" s="5">
        <v>2751</v>
      </c>
      <c r="K942" s="15">
        <v>47.45</v>
      </c>
      <c r="L942" s="15">
        <v>31.79</v>
      </c>
      <c r="M942" s="15">
        <v>130534.95000000001</v>
      </c>
      <c r="N942" s="15">
        <v>87454.29</v>
      </c>
      <c r="O942" s="16">
        <v>43080.660000000018</v>
      </c>
    </row>
    <row r="943" spans="2:15" ht="18.75" hidden="1" x14ac:dyDescent="0.25">
      <c r="B943" s="4" t="s">
        <v>56</v>
      </c>
      <c r="C943" s="5" t="s">
        <v>97</v>
      </c>
      <c r="D943" s="5" t="s">
        <v>68</v>
      </c>
      <c r="E943" s="5" t="s">
        <v>54</v>
      </c>
      <c r="F943" s="5" t="s">
        <v>70</v>
      </c>
      <c r="G943" s="14">
        <v>42325</v>
      </c>
      <c r="H943" s="5">
        <v>100852620</v>
      </c>
      <c r="I943" s="14">
        <v>42375</v>
      </c>
      <c r="J943" s="5">
        <v>3386</v>
      </c>
      <c r="K943" s="15">
        <v>109.28</v>
      </c>
      <c r="L943" s="15">
        <v>35.840000000000003</v>
      </c>
      <c r="M943" s="15">
        <v>370022.08</v>
      </c>
      <c r="N943" s="15">
        <v>121354.24000000001</v>
      </c>
      <c r="O943" s="16">
        <v>248667.84000000003</v>
      </c>
    </row>
    <row r="944" spans="2:15" ht="18.75" hidden="1" x14ac:dyDescent="0.25">
      <c r="B944" s="4" t="s">
        <v>60</v>
      </c>
      <c r="C944" s="5" t="s">
        <v>248</v>
      </c>
      <c r="D944" s="5" t="s">
        <v>78</v>
      </c>
      <c r="E944" s="5" t="s">
        <v>54</v>
      </c>
      <c r="F944" s="5" t="s">
        <v>59</v>
      </c>
      <c r="G944" s="14">
        <v>41778</v>
      </c>
      <c r="H944" s="5">
        <v>100853908</v>
      </c>
      <c r="I944" s="14">
        <v>41815</v>
      </c>
      <c r="J944" s="5">
        <v>3767</v>
      </c>
      <c r="K944" s="15">
        <v>47.45</v>
      </c>
      <c r="L944" s="15">
        <v>31.79</v>
      </c>
      <c r="M944" s="15">
        <v>178744.15000000002</v>
      </c>
      <c r="N944" s="15">
        <v>119752.93</v>
      </c>
      <c r="O944" s="16">
        <v>58991.22000000003</v>
      </c>
    </row>
    <row r="945" spans="2:15" ht="18.75" hidden="1" x14ac:dyDescent="0.25">
      <c r="B945" s="4" t="s">
        <v>60</v>
      </c>
      <c r="C945" s="5" t="s">
        <v>149</v>
      </c>
      <c r="D945" s="5" t="s">
        <v>58</v>
      </c>
      <c r="E945" s="5" t="s">
        <v>54</v>
      </c>
      <c r="F945" s="5" t="s">
        <v>55</v>
      </c>
      <c r="G945" s="14">
        <v>41231</v>
      </c>
      <c r="H945" s="5">
        <v>100855195</v>
      </c>
      <c r="I945" s="14">
        <v>41255</v>
      </c>
      <c r="J945" s="5">
        <v>4148</v>
      </c>
      <c r="K945" s="15">
        <v>255.28</v>
      </c>
      <c r="L945" s="15">
        <v>159.41999999999999</v>
      </c>
      <c r="M945" s="15">
        <v>1058901.44</v>
      </c>
      <c r="N945" s="15">
        <v>661274.15999999992</v>
      </c>
      <c r="O945" s="16">
        <v>397627.28</v>
      </c>
    </row>
    <row r="946" spans="2:15" ht="18.75" hidden="1" x14ac:dyDescent="0.25">
      <c r="B946" s="4" t="s">
        <v>72</v>
      </c>
      <c r="C946" s="5" t="s">
        <v>209</v>
      </c>
      <c r="D946" s="5" t="s">
        <v>65</v>
      </c>
      <c r="E946" s="5" t="s">
        <v>54</v>
      </c>
      <c r="F946" s="5" t="s">
        <v>55</v>
      </c>
      <c r="G946" s="14">
        <v>42368</v>
      </c>
      <c r="H946" s="5">
        <v>100855624</v>
      </c>
      <c r="I946" s="14">
        <v>42388</v>
      </c>
      <c r="J946" s="5">
        <v>4275</v>
      </c>
      <c r="K946" s="15">
        <v>651.21</v>
      </c>
      <c r="L946" s="15">
        <v>524.96</v>
      </c>
      <c r="M946" s="15">
        <v>2783922.75</v>
      </c>
      <c r="N946" s="15">
        <v>2244204</v>
      </c>
      <c r="O946" s="16">
        <v>539718.75</v>
      </c>
    </row>
    <row r="947" spans="2:15" ht="18.75" hidden="1" x14ac:dyDescent="0.25">
      <c r="B947" s="4" t="s">
        <v>74</v>
      </c>
      <c r="C947" s="5" t="s">
        <v>99</v>
      </c>
      <c r="D947" s="5" t="s">
        <v>62</v>
      </c>
      <c r="E947" s="5" t="s">
        <v>54</v>
      </c>
      <c r="F947" s="5" t="s">
        <v>70</v>
      </c>
      <c r="G947" s="14">
        <v>40684</v>
      </c>
      <c r="H947" s="5">
        <v>100856482</v>
      </c>
      <c r="I947" s="14">
        <v>40695</v>
      </c>
      <c r="J947" s="5">
        <v>4529</v>
      </c>
      <c r="K947" s="15">
        <v>437.2</v>
      </c>
      <c r="L947" s="15">
        <v>263.33</v>
      </c>
      <c r="M947" s="15">
        <v>1980078.8</v>
      </c>
      <c r="N947" s="15">
        <v>1192621.5699999998</v>
      </c>
      <c r="O947" s="16">
        <v>787457.23000000021</v>
      </c>
    </row>
    <row r="948" spans="2:15" ht="18.75" hidden="1" x14ac:dyDescent="0.25">
      <c r="B948" s="4" t="s">
        <v>72</v>
      </c>
      <c r="C948" s="5" t="s">
        <v>101</v>
      </c>
      <c r="D948" s="5" t="s">
        <v>93</v>
      </c>
      <c r="E948" s="5" t="s">
        <v>54</v>
      </c>
      <c r="F948" s="5" t="s">
        <v>59</v>
      </c>
      <c r="G948" s="14">
        <v>41821</v>
      </c>
      <c r="H948" s="5">
        <v>100856912</v>
      </c>
      <c r="I948" s="14">
        <v>41828</v>
      </c>
      <c r="J948" s="5">
        <v>4656</v>
      </c>
      <c r="K948" s="15">
        <v>81.73</v>
      </c>
      <c r="L948" s="15">
        <v>56.67</v>
      </c>
      <c r="M948" s="15">
        <v>380534.88</v>
      </c>
      <c r="N948" s="15">
        <v>263855.52</v>
      </c>
      <c r="O948" s="16">
        <v>116679.35999999999</v>
      </c>
    </row>
    <row r="949" spans="2:15" ht="18.75" hidden="1" x14ac:dyDescent="0.25">
      <c r="B949" s="4" t="s">
        <v>81</v>
      </c>
      <c r="C949" s="5" t="s">
        <v>102</v>
      </c>
      <c r="D949" s="5" t="s">
        <v>80</v>
      </c>
      <c r="E949" s="5" t="s">
        <v>54</v>
      </c>
      <c r="F949" s="5" t="s">
        <v>55</v>
      </c>
      <c r="G949" s="14">
        <v>41274</v>
      </c>
      <c r="H949" s="5">
        <v>100858199</v>
      </c>
      <c r="I949" s="14">
        <v>41319</v>
      </c>
      <c r="J949" s="5">
        <v>5037</v>
      </c>
      <c r="K949" s="15">
        <v>668.27</v>
      </c>
      <c r="L949" s="15">
        <v>502.54</v>
      </c>
      <c r="M949" s="15">
        <v>3366075.9899999998</v>
      </c>
      <c r="N949" s="15">
        <v>2531293.98</v>
      </c>
      <c r="O949" s="16">
        <v>834782.00999999978</v>
      </c>
    </row>
    <row r="950" spans="2:15" ht="18.75" hidden="1" x14ac:dyDescent="0.25">
      <c r="B950" s="4" t="s">
        <v>51</v>
      </c>
      <c r="C950" s="5" t="s">
        <v>153</v>
      </c>
      <c r="D950" s="5" t="s">
        <v>65</v>
      </c>
      <c r="E950" s="5" t="s">
        <v>54</v>
      </c>
      <c r="F950" s="5" t="s">
        <v>70</v>
      </c>
      <c r="G950" s="14">
        <v>43548</v>
      </c>
      <c r="H950" s="5">
        <v>100859057</v>
      </c>
      <c r="I950" s="14">
        <v>43584</v>
      </c>
      <c r="J950" s="5">
        <v>5291</v>
      </c>
      <c r="K950" s="15">
        <v>651.21</v>
      </c>
      <c r="L950" s="15">
        <v>524.96</v>
      </c>
      <c r="M950" s="15">
        <v>3445552.1100000003</v>
      </c>
      <c r="N950" s="15">
        <v>2777563.3600000003</v>
      </c>
      <c r="O950" s="16">
        <v>667988.75</v>
      </c>
    </row>
    <row r="951" spans="2:15" ht="18.75" hidden="1" x14ac:dyDescent="0.25">
      <c r="B951" s="4" t="s">
        <v>51</v>
      </c>
      <c r="C951" s="5" t="s">
        <v>236</v>
      </c>
      <c r="D951" s="5" t="s">
        <v>65</v>
      </c>
      <c r="E951" s="5" t="s">
        <v>54</v>
      </c>
      <c r="F951" s="5" t="s">
        <v>70</v>
      </c>
      <c r="G951" s="14">
        <v>40770</v>
      </c>
      <c r="H951" s="5">
        <v>100862491</v>
      </c>
      <c r="I951" s="14">
        <v>40771</v>
      </c>
      <c r="J951" s="5">
        <v>6307</v>
      </c>
      <c r="K951" s="15">
        <v>651.21</v>
      </c>
      <c r="L951" s="15">
        <v>524.96</v>
      </c>
      <c r="M951" s="15">
        <v>4107181.47</v>
      </c>
      <c r="N951" s="15">
        <v>3310922.72</v>
      </c>
      <c r="O951" s="16">
        <v>796258.75</v>
      </c>
    </row>
    <row r="952" spans="2:15" ht="18.75" hidden="1" x14ac:dyDescent="0.25">
      <c r="B952" s="4" t="s">
        <v>51</v>
      </c>
      <c r="C952" s="5" t="s">
        <v>244</v>
      </c>
      <c r="D952" s="5" t="s">
        <v>80</v>
      </c>
      <c r="E952" s="5" t="s">
        <v>132</v>
      </c>
      <c r="F952" s="5" t="s">
        <v>55</v>
      </c>
      <c r="G952" s="14">
        <v>43635</v>
      </c>
      <c r="H952" s="5">
        <v>100865066</v>
      </c>
      <c r="I952" s="14">
        <v>43661</v>
      </c>
      <c r="J952" s="5">
        <v>7069</v>
      </c>
      <c r="K952" s="15">
        <v>668.27</v>
      </c>
      <c r="L952" s="15">
        <v>502.54</v>
      </c>
      <c r="M952" s="15">
        <v>4724000.63</v>
      </c>
      <c r="N952" s="15">
        <v>3552455.2600000002</v>
      </c>
      <c r="O952" s="16">
        <v>1171545.3699999996</v>
      </c>
    </row>
    <row r="953" spans="2:15" ht="18.75" hidden="1" x14ac:dyDescent="0.25">
      <c r="B953" s="4" t="s">
        <v>81</v>
      </c>
      <c r="C953" s="5" t="s">
        <v>108</v>
      </c>
      <c r="D953" s="5" t="s">
        <v>100</v>
      </c>
      <c r="E953" s="5" t="s">
        <v>132</v>
      </c>
      <c r="F953" s="5" t="s">
        <v>70</v>
      </c>
      <c r="G953" s="14">
        <v>40813</v>
      </c>
      <c r="H953" s="5">
        <v>100865495</v>
      </c>
      <c r="I953" s="14">
        <v>40835</v>
      </c>
      <c r="J953" s="5">
        <v>7196</v>
      </c>
      <c r="K953" s="15">
        <v>205.7</v>
      </c>
      <c r="L953" s="15">
        <v>117.11</v>
      </c>
      <c r="M953" s="15">
        <v>1480217.2</v>
      </c>
      <c r="N953" s="15">
        <v>842723.55999999994</v>
      </c>
      <c r="O953" s="16">
        <v>637493.64</v>
      </c>
    </row>
    <row r="954" spans="2:15" ht="18.75" hidden="1" x14ac:dyDescent="0.25">
      <c r="B954" s="4" t="s">
        <v>74</v>
      </c>
      <c r="C954" s="5" t="s">
        <v>249</v>
      </c>
      <c r="D954" s="5" t="s">
        <v>65</v>
      </c>
      <c r="E954" s="5" t="s">
        <v>132</v>
      </c>
      <c r="F954" s="5" t="s">
        <v>70</v>
      </c>
      <c r="G954" s="14">
        <v>41950</v>
      </c>
      <c r="H954" s="5">
        <v>100865924</v>
      </c>
      <c r="I954" s="14">
        <v>41967</v>
      </c>
      <c r="J954" s="5">
        <v>7323</v>
      </c>
      <c r="K954" s="15">
        <v>651.21</v>
      </c>
      <c r="L954" s="15">
        <v>524.96</v>
      </c>
      <c r="M954" s="15">
        <v>4768810.83</v>
      </c>
      <c r="N954" s="15">
        <v>3844282.08</v>
      </c>
      <c r="O954" s="16">
        <v>924528.75</v>
      </c>
    </row>
    <row r="955" spans="2:15" ht="18.75" hidden="1" x14ac:dyDescent="0.25">
      <c r="B955" s="4" t="s">
        <v>81</v>
      </c>
      <c r="C955" s="5" t="s">
        <v>110</v>
      </c>
      <c r="D955" s="5" t="s">
        <v>62</v>
      </c>
      <c r="E955" s="5" t="s">
        <v>132</v>
      </c>
      <c r="F955" s="5" t="s">
        <v>59</v>
      </c>
      <c r="G955" s="14">
        <v>40266</v>
      </c>
      <c r="H955" s="5">
        <v>100866782</v>
      </c>
      <c r="I955" s="14">
        <v>40274</v>
      </c>
      <c r="J955" s="5">
        <v>7577</v>
      </c>
      <c r="K955" s="15">
        <v>437.2</v>
      </c>
      <c r="L955" s="15">
        <v>263.33</v>
      </c>
      <c r="M955" s="15">
        <v>3312664.4</v>
      </c>
      <c r="N955" s="15">
        <v>1995251.41</v>
      </c>
      <c r="O955" s="16">
        <v>1317412.99</v>
      </c>
    </row>
    <row r="956" spans="2:15" ht="18.75" hidden="1" x14ac:dyDescent="0.25">
      <c r="B956" s="4" t="s">
        <v>51</v>
      </c>
      <c r="C956" s="5" t="s">
        <v>111</v>
      </c>
      <c r="D956" s="5" t="s">
        <v>93</v>
      </c>
      <c r="E956" s="5" t="s">
        <v>132</v>
      </c>
      <c r="F956" s="5" t="s">
        <v>63</v>
      </c>
      <c r="G956" s="14">
        <v>41403</v>
      </c>
      <c r="H956" s="5">
        <v>100867211</v>
      </c>
      <c r="I956" s="14">
        <v>41407</v>
      </c>
      <c r="J956" s="5">
        <v>7704</v>
      </c>
      <c r="K956" s="15">
        <v>81.73</v>
      </c>
      <c r="L956" s="15">
        <v>56.67</v>
      </c>
      <c r="M956" s="15">
        <v>629647.92000000004</v>
      </c>
      <c r="N956" s="15">
        <v>436585.68</v>
      </c>
      <c r="O956" s="16">
        <v>193062.24000000005</v>
      </c>
    </row>
    <row r="957" spans="2:15" ht="18.75" hidden="1" x14ac:dyDescent="0.25">
      <c r="B957" s="4" t="s">
        <v>72</v>
      </c>
      <c r="C957" s="5" t="s">
        <v>198</v>
      </c>
      <c r="D957" s="5" t="s">
        <v>78</v>
      </c>
      <c r="E957" s="5" t="s">
        <v>132</v>
      </c>
      <c r="F957" s="5" t="s">
        <v>55</v>
      </c>
      <c r="G957" s="14">
        <v>42541</v>
      </c>
      <c r="H957" s="5">
        <v>100867640</v>
      </c>
      <c r="I957" s="14">
        <v>42541</v>
      </c>
      <c r="J957" s="5">
        <v>7831</v>
      </c>
      <c r="K957" s="15">
        <v>47.45</v>
      </c>
      <c r="L957" s="15">
        <v>31.79</v>
      </c>
      <c r="M957" s="15">
        <v>371580.95</v>
      </c>
      <c r="N957" s="15">
        <v>248947.49</v>
      </c>
      <c r="O957" s="16">
        <v>122633.46000000002</v>
      </c>
    </row>
    <row r="958" spans="2:15" ht="18.75" hidden="1" x14ac:dyDescent="0.25">
      <c r="B958" s="4" t="s">
        <v>51</v>
      </c>
      <c r="C958" s="5" t="s">
        <v>113</v>
      </c>
      <c r="D958" s="5" t="s">
        <v>80</v>
      </c>
      <c r="E958" s="5" t="s">
        <v>132</v>
      </c>
      <c r="F958" s="5" t="s">
        <v>70</v>
      </c>
      <c r="G958" s="14">
        <v>40856</v>
      </c>
      <c r="H958" s="5">
        <v>100868499</v>
      </c>
      <c r="I958" s="14">
        <v>40898</v>
      </c>
      <c r="J958" s="5">
        <v>8085</v>
      </c>
      <c r="K958" s="15">
        <v>668.27</v>
      </c>
      <c r="L958" s="15">
        <v>502.54</v>
      </c>
      <c r="M958" s="15">
        <v>5402962.9500000002</v>
      </c>
      <c r="N958" s="15">
        <v>4063035.9000000004</v>
      </c>
      <c r="O958" s="16">
        <v>1339927.0499999998</v>
      </c>
    </row>
    <row r="959" spans="2:15" ht="18.75" hidden="1" x14ac:dyDescent="0.25">
      <c r="B959" s="4" t="s">
        <v>81</v>
      </c>
      <c r="C959" s="5" t="s">
        <v>199</v>
      </c>
      <c r="D959" s="5" t="s">
        <v>100</v>
      </c>
      <c r="E959" s="5" t="s">
        <v>132</v>
      </c>
      <c r="F959" s="5" t="s">
        <v>70</v>
      </c>
      <c r="G959" s="14">
        <v>41994</v>
      </c>
      <c r="H959" s="5">
        <v>100868928</v>
      </c>
      <c r="I959" s="14">
        <v>42032</v>
      </c>
      <c r="J959" s="5">
        <v>8212</v>
      </c>
      <c r="K959" s="15">
        <v>205.7</v>
      </c>
      <c r="L959" s="15">
        <v>117.11</v>
      </c>
      <c r="M959" s="15">
        <v>1689208.4</v>
      </c>
      <c r="N959" s="15">
        <v>961707.32</v>
      </c>
      <c r="O959" s="16">
        <v>727501.08</v>
      </c>
    </row>
    <row r="960" spans="2:15" ht="18.75" hidden="1" x14ac:dyDescent="0.25">
      <c r="B960" s="4" t="s">
        <v>60</v>
      </c>
      <c r="C960" s="5" t="s">
        <v>201</v>
      </c>
      <c r="D960" s="5" t="s">
        <v>93</v>
      </c>
      <c r="E960" s="5" t="s">
        <v>132</v>
      </c>
      <c r="F960" s="5" t="s">
        <v>63</v>
      </c>
      <c r="G960" s="14">
        <v>42584</v>
      </c>
      <c r="H960" s="5">
        <v>100870645</v>
      </c>
      <c r="I960" s="14">
        <v>42604</v>
      </c>
      <c r="J960" s="5">
        <v>8720</v>
      </c>
      <c r="K960" s="15">
        <v>81.73</v>
      </c>
      <c r="L960" s="15">
        <v>56.67</v>
      </c>
      <c r="M960" s="15">
        <v>712685.6</v>
      </c>
      <c r="N960" s="15">
        <v>494162.4</v>
      </c>
      <c r="O960" s="16">
        <v>218523.19999999995</v>
      </c>
    </row>
    <row r="961" spans="2:15" ht="18.75" hidden="1" x14ac:dyDescent="0.25">
      <c r="B961" s="4" t="s">
        <v>51</v>
      </c>
      <c r="C961" s="5" t="s">
        <v>116</v>
      </c>
      <c r="D961" s="5" t="s">
        <v>78</v>
      </c>
      <c r="E961" s="5" t="s">
        <v>132</v>
      </c>
      <c r="F961" s="5" t="s">
        <v>55</v>
      </c>
      <c r="G961" s="14">
        <v>43721</v>
      </c>
      <c r="H961" s="5">
        <v>100871074</v>
      </c>
      <c r="I961" s="14">
        <v>43737</v>
      </c>
      <c r="J961" s="5">
        <v>8847</v>
      </c>
      <c r="K961" s="15">
        <v>47.45</v>
      </c>
      <c r="L961" s="15">
        <v>31.79</v>
      </c>
      <c r="M961" s="15">
        <v>419790.15</v>
      </c>
      <c r="N961" s="15">
        <v>281246.13</v>
      </c>
      <c r="O961" s="16">
        <v>138544.02000000002</v>
      </c>
    </row>
    <row r="962" spans="2:15" ht="18.75" hidden="1" x14ac:dyDescent="0.25">
      <c r="B962" s="4" t="s">
        <v>81</v>
      </c>
      <c r="C962" s="5" t="s">
        <v>117</v>
      </c>
      <c r="D962" s="5" t="s">
        <v>96</v>
      </c>
      <c r="E962" s="5" t="s">
        <v>132</v>
      </c>
      <c r="F962" s="5" t="s">
        <v>55</v>
      </c>
      <c r="G962" s="14">
        <v>40899</v>
      </c>
      <c r="H962" s="5">
        <v>100871503</v>
      </c>
      <c r="I962" s="14">
        <v>40910</v>
      </c>
      <c r="J962" s="5">
        <v>8974</v>
      </c>
      <c r="K962" s="15">
        <v>154.06</v>
      </c>
      <c r="L962" s="15">
        <v>90.93</v>
      </c>
      <c r="M962" s="15">
        <v>1382534.44</v>
      </c>
      <c r="N962" s="15">
        <v>816005.82000000007</v>
      </c>
      <c r="O962" s="16">
        <v>566528.61999999988</v>
      </c>
    </row>
    <row r="963" spans="2:15" ht="18.75" hidden="1" x14ac:dyDescent="0.25">
      <c r="B963" s="4" t="s">
        <v>72</v>
      </c>
      <c r="C963" s="5" t="s">
        <v>229</v>
      </c>
      <c r="D963" s="5" t="s">
        <v>100</v>
      </c>
      <c r="E963" s="5" t="s">
        <v>132</v>
      </c>
      <c r="F963" s="5" t="s">
        <v>59</v>
      </c>
      <c r="G963" s="14">
        <v>43174</v>
      </c>
      <c r="H963" s="5">
        <v>100872361</v>
      </c>
      <c r="I963" s="14">
        <v>43177</v>
      </c>
      <c r="J963" s="5">
        <v>9228</v>
      </c>
      <c r="K963" s="15">
        <v>205.7</v>
      </c>
      <c r="L963" s="15">
        <v>117.11</v>
      </c>
      <c r="M963" s="15">
        <v>1898199.5999999999</v>
      </c>
      <c r="N963" s="15">
        <v>1080691.08</v>
      </c>
      <c r="O963" s="16">
        <v>817508.51999999979</v>
      </c>
    </row>
    <row r="964" spans="2:15" ht="18.75" hidden="1" x14ac:dyDescent="0.25">
      <c r="B964" s="4" t="s">
        <v>56</v>
      </c>
      <c r="C964" s="5" t="s">
        <v>218</v>
      </c>
      <c r="D964" s="5" t="s">
        <v>65</v>
      </c>
      <c r="E964" s="5" t="s">
        <v>132</v>
      </c>
      <c r="F964" s="5" t="s">
        <v>59</v>
      </c>
      <c r="G964" s="14">
        <v>40352</v>
      </c>
      <c r="H964" s="5">
        <v>100872790</v>
      </c>
      <c r="I964" s="14">
        <v>40401</v>
      </c>
      <c r="J964" s="5">
        <v>9355</v>
      </c>
      <c r="K964" s="15">
        <v>651.21</v>
      </c>
      <c r="L964" s="15">
        <v>524.96</v>
      </c>
      <c r="M964" s="15">
        <v>6092069.5500000007</v>
      </c>
      <c r="N964" s="15">
        <v>4911000.8000000007</v>
      </c>
      <c r="O964" s="16">
        <v>1181068.75</v>
      </c>
    </row>
    <row r="965" spans="2:15" ht="18.75" hidden="1" x14ac:dyDescent="0.25">
      <c r="B965" s="4" t="s">
        <v>81</v>
      </c>
      <c r="C965" s="5" t="s">
        <v>163</v>
      </c>
      <c r="D965" s="5" t="s">
        <v>62</v>
      </c>
      <c r="E965" s="5" t="s">
        <v>132</v>
      </c>
      <c r="F965" s="5" t="s">
        <v>63</v>
      </c>
      <c r="G965" s="14">
        <v>42627</v>
      </c>
      <c r="H965" s="5">
        <v>100873649</v>
      </c>
      <c r="I965" s="14">
        <v>42668</v>
      </c>
      <c r="J965" s="5">
        <v>9609</v>
      </c>
      <c r="K965" s="15">
        <v>437.2</v>
      </c>
      <c r="L965" s="15">
        <v>263.33</v>
      </c>
      <c r="M965" s="15">
        <v>4201054.8</v>
      </c>
      <c r="N965" s="15">
        <v>2530337.9699999997</v>
      </c>
      <c r="O965" s="16">
        <v>1670716.83</v>
      </c>
    </row>
    <row r="966" spans="2:15" ht="18.75" hidden="1" x14ac:dyDescent="0.25">
      <c r="B966" s="4" t="s">
        <v>60</v>
      </c>
      <c r="C966" s="5" t="s">
        <v>252</v>
      </c>
      <c r="D966" s="5" t="s">
        <v>80</v>
      </c>
      <c r="E966" s="5" t="s">
        <v>132</v>
      </c>
      <c r="F966" s="5" t="s">
        <v>70</v>
      </c>
      <c r="G966" s="14">
        <v>43217</v>
      </c>
      <c r="H966" s="5">
        <v>100875365</v>
      </c>
      <c r="I966" s="14">
        <v>43240</v>
      </c>
      <c r="J966" s="5">
        <v>117</v>
      </c>
      <c r="K966" s="15">
        <v>668.27</v>
      </c>
      <c r="L966" s="15">
        <v>502.54</v>
      </c>
      <c r="M966" s="15">
        <v>78187.59</v>
      </c>
      <c r="N966" s="15">
        <v>58797.18</v>
      </c>
      <c r="O966" s="16">
        <v>19390.409999999996</v>
      </c>
    </row>
    <row r="967" spans="2:15" ht="18.75" hidden="1" x14ac:dyDescent="0.25">
      <c r="B967" s="4" t="s">
        <v>51</v>
      </c>
      <c r="C967" s="5" t="s">
        <v>122</v>
      </c>
      <c r="D967" s="5" t="s">
        <v>100</v>
      </c>
      <c r="E967" s="5" t="s">
        <v>132</v>
      </c>
      <c r="F967" s="5" t="s">
        <v>59</v>
      </c>
      <c r="G967" s="14">
        <v>40396</v>
      </c>
      <c r="H967" s="5">
        <v>100875794</v>
      </c>
      <c r="I967" s="14">
        <v>40415</v>
      </c>
      <c r="J967" s="5">
        <v>244</v>
      </c>
      <c r="K967" s="15">
        <v>205.7</v>
      </c>
      <c r="L967" s="15">
        <v>117.11</v>
      </c>
      <c r="M967" s="15">
        <v>50190.799999999996</v>
      </c>
      <c r="N967" s="15">
        <v>28574.84</v>
      </c>
      <c r="O967" s="16">
        <v>21615.959999999995</v>
      </c>
    </row>
    <row r="968" spans="2:15" ht="18.75" hidden="1" x14ac:dyDescent="0.25">
      <c r="B968" s="4" t="s">
        <v>72</v>
      </c>
      <c r="C968" s="5" t="s">
        <v>237</v>
      </c>
      <c r="D968" s="5" t="s">
        <v>53</v>
      </c>
      <c r="E968" s="5" t="s">
        <v>132</v>
      </c>
      <c r="F968" s="5" t="s">
        <v>55</v>
      </c>
      <c r="G968" s="14">
        <v>43807</v>
      </c>
      <c r="H968" s="5">
        <v>100877082</v>
      </c>
      <c r="I968" s="14">
        <v>43813</v>
      </c>
      <c r="J968" s="5">
        <v>625</v>
      </c>
      <c r="K968" s="15">
        <v>9.33</v>
      </c>
      <c r="L968" s="15">
        <v>6.92</v>
      </c>
      <c r="M968" s="15">
        <v>5831.25</v>
      </c>
      <c r="N968" s="15">
        <v>4325</v>
      </c>
      <c r="O968" s="16">
        <v>1506.25</v>
      </c>
    </row>
    <row r="969" spans="2:15" ht="18.75" hidden="1" x14ac:dyDescent="0.25">
      <c r="B969" s="4" t="s">
        <v>56</v>
      </c>
      <c r="C969" s="5" t="s">
        <v>246</v>
      </c>
      <c r="D969" s="5" t="s">
        <v>93</v>
      </c>
      <c r="E969" s="5" t="s">
        <v>132</v>
      </c>
      <c r="F969" s="5" t="s">
        <v>55</v>
      </c>
      <c r="G969" s="14">
        <v>40986</v>
      </c>
      <c r="H969" s="5">
        <v>100877511</v>
      </c>
      <c r="I969" s="14">
        <v>40987</v>
      </c>
      <c r="J969" s="5">
        <v>752</v>
      </c>
      <c r="K969" s="15">
        <v>81.73</v>
      </c>
      <c r="L969" s="15">
        <v>56.67</v>
      </c>
      <c r="M969" s="15">
        <v>61460.960000000006</v>
      </c>
      <c r="N969" s="15">
        <v>42615.840000000004</v>
      </c>
      <c r="O969" s="16">
        <v>18845.120000000003</v>
      </c>
    </row>
    <row r="970" spans="2:15" ht="18.75" hidden="1" x14ac:dyDescent="0.25">
      <c r="B970" s="4" t="s">
        <v>51</v>
      </c>
      <c r="C970" s="5" t="s">
        <v>202</v>
      </c>
      <c r="D970" s="5" t="s">
        <v>58</v>
      </c>
      <c r="E970" s="5" t="s">
        <v>132</v>
      </c>
      <c r="F970" s="5" t="s">
        <v>70</v>
      </c>
      <c r="G970" s="14">
        <v>42123</v>
      </c>
      <c r="H970" s="5">
        <v>100877940</v>
      </c>
      <c r="I970" s="14">
        <v>42171</v>
      </c>
      <c r="J970" s="5">
        <v>879</v>
      </c>
      <c r="K970" s="15">
        <v>255.28</v>
      </c>
      <c r="L970" s="15">
        <v>159.41999999999999</v>
      </c>
      <c r="M970" s="15">
        <v>224391.12</v>
      </c>
      <c r="N970" s="15">
        <v>140130.18</v>
      </c>
      <c r="O970" s="16">
        <v>84260.94</v>
      </c>
    </row>
    <row r="971" spans="2:15" ht="18.75" hidden="1" x14ac:dyDescent="0.25">
      <c r="B971" s="4" t="s">
        <v>51</v>
      </c>
      <c r="C971" s="5" t="s">
        <v>125</v>
      </c>
      <c r="D971" s="5" t="s">
        <v>100</v>
      </c>
      <c r="E971" s="5" t="s">
        <v>132</v>
      </c>
      <c r="F971" s="5" t="s">
        <v>59</v>
      </c>
      <c r="G971" s="14">
        <v>41576</v>
      </c>
      <c r="H971" s="5">
        <v>100879228</v>
      </c>
      <c r="I971" s="14">
        <v>41611</v>
      </c>
      <c r="J971" s="5">
        <v>1260</v>
      </c>
      <c r="K971" s="15">
        <v>205.7</v>
      </c>
      <c r="L971" s="15">
        <v>117.11</v>
      </c>
      <c r="M971" s="15">
        <v>259182</v>
      </c>
      <c r="N971" s="15">
        <v>147558.6</v>
      </c>
      <c r="O971" s="16">
        <v>111623.4</v>
      </c>
    </row>
    <row r="972" spans="2:15" ht="18.75" hidden="1" x14ac:dyDescent="0.25">
      <c r="B972" s="4" t="s">
        <v>81</v>
      </c>
      <c r="C972" s="5" t="s">
        <v>126</v>
      </c>
      <c r="D972" s="5" t="s">
        <v>76</v>
      </c>
      <c r="E972" s="5" t="s">
        <v>132</v>
      </c>
      <c r="F972" s="5" t="s">
        <v>63</v>
      </c>
      <c r="G972" s="14">
        <v>42713</v>
      </c>
      <c r="H972" s="5">
        <v>100879657</v>
      </c>
      <c r="I972" s="14">
        <v>42744</v>
      </c>
      <c r="J972" s="5">
        <v>1387</v>
      </c>
      <c r="K972" s="15">
        <v>421.89</v>
      </c>
      <c r="L972" s="15">
        <v>364.69</v>
      </c>
      <c r="M972" s="15">
        <v>585161.42999999993</v>
      </c>
      <c r="N972" s="15">
        <v>505825.02999999997</v>
      </c>
      <c r="O972" s="16">
        <v>79336.399999999965</v>
      </c>
    </row>
    <row r="973" spans="2:15" ht="18.75" hidden="1" x14ac:dyDescent="0.25">
      <c r="B973" s="4" t="s">
        <v>60</v>
      </c>
      <c r="C973" s="5" t="s">
        <v>127</v>
      </c>
      <c r="D973" s="5" t="s">
        <v>88</v>
      </c>
      <c r="E973" s="5" t="s">
        <v>132</v>
      </c>
      <c r="F973" s="5" t="s">
        <v>63</v>
      </c>
      <c r="G973" s="14">
        <v>43851</v>
      </c>
      <c r="H973" s="5">
        <v>100880086</v>
      </c>
      <c r="I973" s="14">
        <v>43877</v>
      </c>
      <c r="J973" s="5">
        <v>1514</v>
      </c>
      <c r="K973" s="15">
        <v>152.58000000000001</v>
      </c>
      <c r="L973" s="15">
        <v>97.44</v>
      </c>
      <c r="M973" s="15">
        <v>231006.12000000002</v>
      </c>
      <c r="N973" s="15">
        <v>147524.16</v>
      </c>
      <c r="O973" s="16">
        <v>83481.960000000021</v>
      </c>
    </row>
    <row r="974" spans="2:15" ht="18.75" hidden="1" x14ac:dyDescent="0.25">
      <c r="B974" s="4" t="s">
        <v>60</v>
      </c>
      <c r="C974" s="5" t="s">
        <v>130</v>
      </c>
      <c r="D974" s="5" t="s">
        <v>58</v>
      </c>
      <c r="E974" s="5" t="s">
        <v>132</v>
      </c>
      <c r="F974" s="5" t="s">
        <v>70</v>
      </c>
      <c r="G974" s="14">
        <v>43304</v>
      </c>
      <c r="H974" s="5">
        <v>100881373</v>
      </c>
      <c r="I974" s="14">
        <v>43317</v>
      </c>
      <c r="J974" s="5">
        <v>1895</v>
      </c>
      <c r="K974" s="15">
        <v>255.28</v>
      </c>
      <c r="L974" s="15">
        <v>159.41999999999999</v>
      </c>
      <c r="M974" s="15">
        <v>483755.6</v>
      </c>
      <c r="N974" s="15">
        <v>302100.89999999997</v>
      </c>
      <c r="O974" s="16">
        <v>181654.7</v>
      </c>
    </row>
    <row r="975" spans="2:15" ht="18.75" hidden="1" x14ac:dyDescent="0.25">
      <c r="B975" s="4" t="s">
        <v>72</v>
      </c>
      <c r="C975" s="5" t="s">
        <v>131</v>
      </c>
      <c r="D975" s="5" t="s">
        <v>96</v>
      </c>
      <c r="E975" s="5" t="s">
        <v>132</v>
      </c>
      <c r="F975" s="5" t="s">
        <v>59</v>
      </c>
      <c r="G975" s="14">
        <v>40482</v>
      </c>
      <c r="H975" s="5">
        <v>100881803</v>
      </c>
      <c r="I975" s="14">
        <v>40491</v>
      </c>
      <c r="J975" s="5">
        <v>2022</v>
      </c>
      <c r="K975" s="15">
        <v>154.06</v>
      </c>
      <c r="L975" s="15">
        <v>90.93</v>
      </c>
      <c r="M975" s="15">
        <v>311509.32</v>
      </c>
      <c r="N975" s="15">
        <v>183860.46000000002</v>
      </c>
      <c r="O975" s="16">
        <v>127648.85999999999</v>
      </c>
    </row>
    <row r="976" spans="2:15" ht="18.75" hidden="1" x14ac:dyDescent="0.25">
      <c r="B976" s="4" t="s">
        <v>81</v>
      </c>
      <c r="C976" s="5" t="s">
        <v>133</v>
      </c>
      <c r="D976" s="5" t="s">
        <v>68</v>
      </c>
      <c r="E976" s="5" t="s">
        <v>132</v>
      </c>
      <c r="F976" s="5" t="s">
        <v>59</v>
      </c>
      <c r="G976" s="14">
        <v>41619</v>
      </c>
      <c r="H976" s="5">
        <v>100882232</v>
      </c>
      <c r="I976" s="14">
        <v>41624</v>
      </c>
      <c r="J976" s="5">
        <v>2149</v>
      </c>
      <c r="K976" s="15">
        <v>109.28</v>
      </c>
      <c r="L976" s="15">
        <v>35.840000000000003</v>
      </c>
      <c r="M976" s="15">
        <v>234842.72</v>
      </c>
      <c r="N976" s="15">
        <v>77020.160000000003</v>
      </c>
      <c r="O976" s="16">
        <v>157822.56</v>
      </c>
    </row>
    <row r="977" spans="2:15" ht="18.75" hidden="1" x14ac:dyDescent="0.25">
      <c r="B977" s="4" t="s">
        <v>74</v>
      </c>
      <c r="C977" s="5" t="s">
        <v>220</v>
      </c>
      <c r="D977" s="5" t="s">
        <v>100</v>
      </c>
      <c r="E977" s="5" t="s">
        <v>132</v>
      </c>
      <c r="F977" s="5" t="s">
        <v>63</v>
      </c>
      <c r="G977" s="14">
        <v>42757</v>
      </c>
      <c r="H977" s="5">
        <v>100882661</v>
      </c>
      <c r="I977" s="14">
        <v>42757</v>
      </c>
      <c r="J977" s="5">
        <v>2276</v>
      </c>
      <c r="K977" s="15">
        <v>205.7</v>
      </c>
      <c r="L977" s="15">
        <v>117.11</v>
      </c>
      <c r="M977" s="15">
        <v>468173.19999999995</v>
      </c>
      <c r="N977" s="15">
        <v>266542.36</v>
      </c>
      <c r="O977" s="16">
        <v>201630.83999999997</v>
      </c>
    </row>
    <row r="978" spans="2:15" ht="18.75" x14ac:dyDescent="0.25">
      <c r="B978" s="4" t="s">
        <v>72</v>
      </c>
      <c r="C978" s="5" t="s">
        <v>134</v>
      </c>
      <c r="D978" s="5" t="s">
        <v>76</v>
      </c>
      <c r="E978" s="5" t="s">
        <v>132</v>
      </c>
      <c r="F978" s="5" t="s">
        <v>63</v>
      </c>
      <c r="G978" s="14">
        <v>43894</v>
      </c>
      <c r="H978" s="5">
        <v>100883090</v>
      </c>
      <c r="I978" s="14">
        <v>43941</v>
      </c>
      <c r="J978" s="5">
        <v>2403</v>
      </c>
      <c r="K978" s="15">
        <v>421.89</v>
      </c>
      <c r="L978" s="15">
        <v>364.69</v>
      </c>
      <c r="M978" s="15">
        <v>1013801.6699999999</v>
      </c>
      <c r="N978" s="15">
        <v>876350.07</v>
      </c>
      <c r="O978" s="16">
        <v>137451.59999999998</v>
      </c>
    </row>
    <row r="979" spans="2:15" ht="18.75" hidden="1" x14ac:dyDescent="0.25">
      <c r="B979" s="4" t="s">
        <v>56</v>
      </c>
      <c r="C979" s="5" t="s">
        <v>135</v>
      </c>
      <c r="D979" s="5" t="s">
        <v>88</v>
      </c>
      <c r="E979" s="5" t="s">
        <v>132</v>
      </c>
      <c r="F979" s="5" t="s">
        <v>55</v>
      </c>
      <c r="G979" s="14">
        <v>41072</v>
      </c>
      <c r="H979" s="5">
        <v>100883519</v>
      </c>
      <c r="I979" s="14">
        <v>41114</v>
      </c>
      <c r="J979" s="5">
        <v>2530</v>
      </c>
      <c r="K979" s="15">
        <v>152.58000000000001</v>
      </c>
      <c r="L979" s="15">
        <v>97.44</v>
      </c>
      <c r="M979" s="15">
        <v>386027.4</v>
      </c>
      <c r="N979" s="15">
        <v>246523.19999999998</v>
      </c>
      <c r="O979" s="16">
        <v>139504.20000000004</v>
      </c>
    </row>
    <row r="980" spans="2:15" ht="18.75" x14ac:dyDescent="0.25">
      <c r="B980" s="4" t="s">
        <v>60</v>
      </c>
      <c r="C980" s="5" t="s">
        <v>254</v>
      </c>
      <c r="D980" s="5" t="s">
        <v>100</v>
      </c>
      <c r="E980" s="5" t="s">
        <v>132</v>
      </c>
      <c r="F980" s="5" t="s">
        <v>63</v>
      </c>
      <c r="G980" s="14">
        <v>43937</v>
      </c>
      <c r="H980" s="5">
        <v>100886094</v>
      </c>
      <c r="I980" s="14">
        <v>43953</v>
      </c>
      <c r="J980" s="5">
        <v>3292</v>
      </c>
      <c r="K980" s="15">
        <v>205.7</v>
      </c>
      <c r="L980" s="15">
        <v>117.11</v>
      </c>
      <c r="M980" s="15">
        <v>677164.39999999991</v>
      </c>
      <c r="N980" s="15">
        <v>385526.12</v>
      </c>
      <c r="O980" s="16">
        <v>291638.27999999991</v>
      </c>
    </row>
    <row r="981" spans="2:15" ht="18.75" hidden="1" x14ac:dyDescent="0.25">
      <c r="B981" s="4" t="s">
        <v>51</v>
      </c>
      <c r="C981" s="5" t="s">
        <v>233</v>
      </c>
      <c r="D981" s="5" t="s">
        <v>76</v>
      </c>
      <c r="E981" s="5" t="s">
        <v>132</v>
      </c>
      <c r="F981" s="5" t="s">
        <v>63</v>
      </c>
      <c r="G981" s="14">
        <v>41115</v>
      </c>
      <c r="H981" s="5">
        <v>100886523</v>
      </c>
      <c r="I981" s="14">
        <v>41127</v>
      </c>
      <c r="J981" s="5">
        <v>3419</v>
      </c>
      <c r="K981" s="15">
        <v>421.89</v>
      </c>
      <c r="L981" s="15">
        <v>364.69</v>
      </c>
      <c r="M981" s="15">
        <v>1442441.91</v>
      </c>
      <c r="N981" s="15">
        <v>1246875.1100000001</v>
      </c>
      <c r="O981" s="16">
        <v>195566.79999999981</v>
      </c>
    </row>
    <row r="982" spans="2:15" ht="18.75" hidden="1" x14ac:dyDescent="0.25">
      <c r="B982" s="4" t="s">
        <v>81</v>
      </c>
      <c r="C982" s="5" t="s">
        <v>140</v>
      </c>
      <c r="D982" s="5" t="s">
        <v>88</v>
      </c>
      <c r="E982" s="5" t="s">
        <v>132</v>
      </c>
      <c r="F982" s="5" t="s">
        <v>55</v>
      </c>
      <c r="G982" s="14">
        <v>42253</v>
      </c>
      <c r="H982" s="5">
        <v>100886952</v>
      </c>
      <c r="I982" s="14">
        <v>42261</v>
      </c>
      <c r="J982" s="5">
        <v>3546</v>
      </c>
      <c r="K982" s="15">
        <v>152.58000000000001</v>
      </c>
      <c r="L982" s="15">
        <v>97.44</v>
      </c>
      <c r="M982" s="15">
        <v>541048.68000000005</v>
      </c>
      <c r="N982" s="15">
        <v>345522.24</v>
      </c>
      <c r="O982" s="16">
        <v>195526.44000000006</v>
      </c>
    </row>
    <row r="983" spans="2:15" ht="18.75" hidden="1" x14ac:dyDescent="0.25">
      <c r="B983" s="4" t="s">
        <v>51</v>
      </c>
      <c r="C983" s="5" t="s">
        <v>204</v>
      </c>
      <c r="D983" s="5" t="s">
        <v>96</v>
      </c>
      <c r="E983" s="5" t="s">
        <v>132</v>
      </c>
      <c r="F983" s="5" t="s">
        <v>59</v>
      </c>
      <c r="G983" s="14">
        <v>42843</v>
      </c>
      <c r="H983" s="5">
        <v>100888669</v>
      </c>
      <c r="I983" s="14">
        <v>42884</v>
      </c>
      <c r="J983" s="5">
        <v>4054</v>
      </c>
      <c r="K983" s="15">
        <v>154.06</v>
      </c>
      <c r="L983" s="15">
        <v>90.93</v>
      </c>
      <c r="M983" s="15">
        <v>624559.24</v>
      </c>
      <c r="N983" s="15">
        <v>368630.22000000003</v>
      </c>
      <c r="O983" s="16">
        <v>255929.01999999996</v>
      </c>
    </row>
    <row r="984" spans="2:15" ht="18.75" hidden="1" x14ac:dyDescent="0.25">
      <c r="B984" s="4" t="s">
        <v>51</v>
      </c>
      <c r="C984" s="5" t="s">
        <v>144</v>
      </c>
      <c r="D984" s="5" t="s">
        <v>76</v>
      </c>
      <c r="E984" s="5" t="s">
        <v>132</v>
      </c>
      <c r="F984" s="5" t="s">
        <v>55</v>
      </c>
      <c r="G984" s="14">
        <v>42296</v>
      </c>
      <c r="H984" s="5">
        <v>100889956</v>
      </c>
      <c r="I984" s="14">
        <v>42324</v>
      </c>
      <c r="J984" s="5">
        <v>4435</v>
      </c>
      <c r="K984" s="15">
        <v>421.89</v>
      </c>
      <c r="L984" s="15">
        <v>364.69</v>
      </c>
      <c r="M984" s="15">
        <v>1871082.15</v>
      </c>
      <c r="N984" s="15">
        <v>1617400.15</v>
      </c>
      <c r="O984" s="16">
        <v>253682</v>
      </c>
    </row>
    <row r="985" spans="2:15" ht="18.75" hidden="1" x14ac:dyDescent="0.25">
      <c r="B985" s="4" t="s">
        <v>56</v>
      </c>
      <c r="C985" s="5" t="s">
        <v>207</v>
      </c>
      <c r="D985" s="5" t="s">
        <v>53</v>
      </c>
      <c r="E985" s="5" t="s">
        <v>132</v>
      </c>
      <c r="F985" s="5" t="s">
        <v>70</v>
      </c>
      <c r="G985" s="14">
        <v>41792</v>
      </c>
      <c r="H985" s="5">
        <v>100894248</v>
      </c>
      <c r="I985" s="14">
        <v>41828</v>
      </c>
      <c r="J985" s="5">
        <v>5705</v>
      </c>
      <c r="K985" s="15">
        <v>9.33</v>
      </c>
      <c r="L985" s="15">
        <v>6.92</v>
      </c>
      <c r="M985" s="15">
        <v>53227.65</v>
      </c>
      <c r="N985" s="15">
        <v>39478.6</v>
      </c>
      <c r="O985" s="16">
        <v>13749.050000000003</v>
      </c>
    </row>
    <row r="986" spans="2:15" ht="18.75" hidden="1" x14ac:dyDescent="0.25">
      <c r="B986" s="4" t="s">
        <v>51</v>
      </c>
      <c r="C986" s="5" t="s">
        <v>208</v>
      </c>
      <c r="D986" s="5" t="s">
        <v>93</v>
      </c>
      <c r="E986" s="5" t="s">
        <v>132</v>
      </c>
      <c r="F986" s="5" t="s">
        <v>59</v>
      </c>
      <c r="G986" s="14">
        <v>42929</v>
      </c>
      <c r="H986" s="5">
        <v>100894677</v>
      </c>
      <c r="I986" s="14">
        <v>42960</v>
      </c>
      <c r="J986" s="5">
        <v>5832</v>
      </c>
      <c r="K986" s="15">
        <v>81.73</v>
      </c>
      <c r="L986" s="15">
        <v>56.67</v>
      </c>
      <c r="M986" s="15">
        <v>476649.36000000004</v>
      </c>
      <c r="N986" s="15">
        <v>330499.44</v>
      </c>
      <c r="O986" s="16">
        <v>146149.92000000004</v>
      </c>
    </row>
    <row r="987" spans="2:15" ht="18.75" x14ac:dyDescent="0.25">
      <c r="B987" s="4" t="s">
        <v>81</v>
      </c>
      <c r="C987" s="5" t="s">
        <v>179</v>
      </c>
      <c r="D987" s="5" t="s">
        <v>58</v>
      </c>
      <c r="E987" s="5" t="s">
        <v>132</v>
      </c>
      <c r="F987" s="5" t="s">
        <v>59</v>
      </c>
      <c r="G987" s="14">
        <v>44066</v>
      </c>
      <c r="H987" s="5">
        <v>100895106</v>
      </c>
      <c r="I987" s="14">
        <v>44093</v>
      </c>
      <c r="J987" s="5">
        <v>5959</v>
      </c>
      <c r="K987" s="15">
        <v>255.28</v>
      </c>
      <c r="L987" s="15">
        <v>159.41999999999999</v>
      </c>
      <c r="M987" s="15">
        <v>1521213.52</v>
      </c>
      <c r="N987" s="15">
        <v>949983.77999999991</v>
      </c>
      <c r="O987" s="16">
        <v>571229.74000000011</v>
      </c>
    </row>
    <row r="988" spans="2:15" ht="18.75" hidden="1" x14ac:dyDescent="0.25">
      <c r="B988" s="4" t="s">
        <v>81</v>
      </c>
      <c r="C988" s="5" t="s">
        <v>180</v>
      </c>
      <c r="D988" s="5" t="s">
        <v>100</v>
      </c>
      <c r="E988" s="5" t="s">
        <v>132</v>
      </c>
      <c r="F988" s="5" t="s">
        <v>55</v>
      </c>
      <c r="G988" s="14">
        <v>43519</v>
      </c>
      <c r="H988" s="5">
        <v>100896394</v>
      </c>
      <c r="I988" s="14">
        <v>43533</v>
      </c>
      <c r="J988" s="5">
        <v>6340</v>
      </c>
      <c r="K988" s="15">
        <v>205.7</v>
      </c>
      <c r="L988" s="15">
        <v>117.11</v>
      </c>
      <c r="M988" s="15">
        <v>1304138</v>
      </c>
      <c r="N988" s="15">
        <v>742477.4</v>
      </c>
      <c r="O988" s="16">
        <v>561660.6</v>
      </c>
    </row>
    <row r="989" spans="2:15" ht="18.75" hidden="1" x14ac:dyDescent="0.25">
      <c r="B989" s="4" t="s">
        <v>81</v>
      </c>
      <c r="C989" s="5" t="s">
        <v>150</v>
      </c>
      <c r="D989" s="5" t="s">
        <v>53</v>
      </c>
      <c r="E989" s="5" t="s">
        <v>132</v>
      </c>
      <c r="F989" s="5" t="s">
        <v>59</v>
      </c>
      <c r="G989" s="14">
        <v>42972</v>
      </c>
      <c r="H989" s="5">
        <v>100897681</v>
      </c>
      <c r="I989" s="14">
        <v>42973</v>
      </c>
      <c r="J989" s="5">
        <v>6721</v>
      </c>
      <c r="K989" s="15">
        <v>9.33</v>
      </c>
      <c r="L989" s="15">
        <v>6.92</v>
      </c>
      <c r="M989" s="15">
        <v>62706.93</v>
      </c>
      <c r="N989" s="15">
        <v>46509.32</v>
      </c>
      <c r="O989" s="16">
        <v>16197.61</v>
      </c>
    </row>
    <row r="990" spans="2:15" ht="18.75" hidden="1" x14ac:dyDescent="0.25">
      <c r="B990" s="4" t="s">
        <v>72</v>
      </c>
      <c r="C990" s="5" t="s">
        <v>77</v>
      </c>
      <c r="D990" s="5" t="s">
        <v>58</v>
      </c>
      <c r="E990" s="5" t="s">
        <v>132</v>
      </c>
      <c r="F990" s="5" t="s">
        <v>63</v>
      </c>
      <c r="G990" s="14">
        <v>41288</v>
      </c>
      <c r="H990" s="5">
        <v>100898540</v>
      </c>
      <c r="I990" s="14">
        <v>41331</v>
      </c>
      <c r="J990" s="5">
        <v>6975</v>
      </c>
      <c r="K990" s="15">
        <v>255.28</v>
      </c>
      <c r="L990" s="15">
        <v>159.41999999999999</v>
      </c>
      <c r="M990" s="15">
        <v>1780578</v>
      </c>
      <c r="N990" s="15">
        <v>1111954.5</v>
      </c>
      <c r="O990" s="16">
        <v>668623.5</v>
      </c>
    </row>
    <row r="991" spans="2:15" ht="18.75" hidden="1" x14ac:dyDescent="0.25">
      <c r="B991" s="4" t="s">
        <v>56</v>
      </c>
      <c r="C991" s="5" t="s">
        <v>235</v>
      </c>
      <c r="D991" s="5" t="s">
        <v>65</v>
      </c>
      <c r="E991" s="5" t="s">
        <v>132</v>
      </c>
      <c r="F991" s="5" t="s">
        <v>63</v>
      </c>
      <c r="G991" s="14">
        <v>42425</v>
      </c>
      <c r="H991" s="5">
        <v>100898969</v>
      </c>
      <c r="I991" s="14">
        <v>42464</v>
      </c>
      <c r="J991" s="5">
        <v>7102</v>
      </c>
      <c r="K991" s="15">
        <v>651.21</v>
      </c>
      <c r="L991" s="15">
        <v>524.96</v>
      </c>
      <c r="M991" s="15">
        <v>4624893.42</v>
      </c>
      <c r="N991" s="15">
        <v>3728265.9200000004</v>
      </c>
      <c r="O991" s="16">
        <v>896627.49999999953</v>
      </c>
    </row>
    <row r="992" spans="2:15" ht="18.75" hidden="1" x14ac:dyDescent="0.25">
      <c r="B992" s="4" t="s">
        <v>51</v>
      </c>
      <c r="C992" s="5" t="s">
        <v>151</v>
      </c>
      <c r="D992" s="5" t="s">
        <v>68</v>
      </c>
      <c r="E992" s="5" t="s">
        <v>132</v>
      </c>
      <c r="F992" s="5" t="s">
        <v>55</v>
      </c>
      <c r="G992" s="14">
        <v>43563</v>
      </c>
      <c r="H992" s="5">
        <v>100899398</v>
      </c>
      <c r="I992" s="14">
        <v>43597</v>
      </c>
      <c r="J992" s="5">
        <v>7229</v>
      </c>
      <c r="K992" s="15">
        <v>109.28</v>
      </c>
      <c r="L992" s="15">
        <v>35.840000000000003</v>
      </c>
      <c r="M992" s="15">
        <v>789985.12</v>
      </c>
      <c r="N992" s="15">
        <v>259087.36000000002</v>
      </c>
      <c r="O992" s="16">
        <v>530897.76</v>
      </c>
    </row>
    <row r="993" spans="2:15" ht="18.75" hidden="1" x14ac:dyDescent="0.25">
      <c r="B993" s="4" t="s">
        <v>60</v>
      </c>
      <c r="C993" s="5" t="s">
        <v>184</v>
      </c>
      <c r="D993" s="5" t="s">
        <v>76</v>
      </c>
      <c r="E993" s="5" t="s">
        <v>132</v>
      </c>
      <c r="F993" s="5" t="s">
        <v>70</v>
      </c>
      <c r="G993" s="14">
        <v>41878</v>
      </c>
      <c r="H993" s="5">
        <v>100900256</v>
      </c>
      <c r="I993" s="14">
        <v>41904</v>
      </c>
      <c r="J993" s="5">
        <v>7483</v>
      </c>
      <c r="K993" s="15">
        <v>421.89</v>
      </c>
      <c r="L993" s="15">
        <v>364.69</v>
      </c>
      <c r="M993" s="15">
        <v>3157002.87</v>
      </c>
      <c r="N993" s="15">
        <v>2728975.27</v>
      </c>
      <c r="O993" s="16">
        <v>428027.60000000009</v>
      </c>
    </row>
    <row r="994" spans="2:15" ht="18.75" hidden="1" x14ac:dyDescent="0.25">
      <c r="B994" s="4" t="s">
        <v>51</v>
      </c>
      <c r="C994" s="5" t="s">
        <v>153</v>
      </c>
      <c r="D994" s="5" t="s">
        <v>78</v>
      </c>
      <c r="E994" s="5" t="s">
        <v>132</v>
      </c>
      <c r="F994" s="5" t="s">
        <v>70</v>
      </c>
      <c r="G994" s="14">
        <v>43016</v>
      </c>
      <c r="H994" s="5">
        <v>100900685</v>
      </c>
      <c r="I994" s="14">
        <v>43037</v>
      </c>
      <c r="J994" s="5">
        <v>7610</v>
      </c>
      <c r="K994" s="15">
        <v>47.45</v>
      </c>
      <c r="L994" s="15">
        <v>31.79</v>
      </c>
      <c r="M994" s="15">
        <v>361094.5</v>
      </c>
      <c r="N994" s="15">
        <v>241921.9</v>
      </c>
      <c r="O994" s="16">
        <v>119172.6</v>
      </c>
    </row>
    <row r="995" spans="2:15" ht="18.75" hidden="1" x14ac:dyDescent="0.25">
      <c r="B995" s="4" t="s">
        <v>81</v>
      </c>
      <c r="C995" s="5" t="s">
        <v>210</v>
      </c>
      <c r="D995" s="5" t="s">
        <v>53</v>
      </c>
      <c r="E995" s="5" t="s">
        <v>132</v>
      </c>
      <c r="F995" s="5" t="s">
        <v>59</v>
      </c>
      <c r="G995" s="14">
        <v>40194</v>
      </c>
      <c r="H995" s="5">
        <v>100901114</v>
      </c>
      <c r="I995" s="14">
        <v>40211</v>
      </c>
      <c r="J995" s="5">
        <v>7737</v>
      </c>
      <c r="K995" s="15">
        <v>9.33</v>
      </c>
      <c r="L995" s="15">
        <v>6.92</v>
      </c>
      <c r="M995" s="15">
        <v>72186.210000000006</v>
      </c>
      <c r="N995" s="15">
        <v>53540.04</v>
      </c>
      <c r="O995" s="16">
        <v>18646.170000000006</v>
      </c>
    </row>
    <row r="996" spans="2:15" ht="18.75" hidden="1" x14ac:dyDescent="0.25">
      <c r="B996" s="4" t="s">
        <v>60</v>
      </c>
      <c r="C996" s="5" t="s">
        <v>224</v>
      </c>
      <c r="D996" s="5" t="s">
        <v>80</v>
      </c>
      <c r="E996" s="5" t="s">
        <v>132</v>
      </c>
      <c r="F996" s="5" t="s">
        <v>63</v>
      </c>
      <c r="G996" s="14">
        <v>41331</v>
      </c>
      <c r="H996" s="5">
        <v>100901544</v>
      </c>
      <c r="I996" s="14">
        <v>41343</v>
      </c>
      <c r="J996" s="5">
        <v>7864</v>
      </c>
      <c r="K996" s="15">
        <v>668.27</v>
      </c>
      <c r="L996" s="15">
        <v>502.54</v>
      </c>
      <c r="M996" s="15">
        <v>5255275.28</v>
      </c>
      <c r="N996" s="15">
        <v>3951974.56</v>
      </c>
      <c r="O996" s="16">
        <v>1303300.7200000002</v>
      </c>
    </row>
    <row r="997" spans="2:15" ht="18.75" hidden="1" x14ac:dyDescent="0.25">
      <c r="B997" s="4" t="s">
        <v>72</v>
      </c>
      <c r="C997" s="5" t="s">
        <v>225</v>
      </c>
      <c r="D997" s="5" t="s">
        <v>62</v>
      </c>
      <c r="E997" s="5" t="s">
        <v>132</v>
      </c>
      <c r="F997" s="5" t="s">
        <v>70</v>
      </c>
      <c r="G997" s="14">
        <v>41921</v>
      </c>
      <c r="H997" s="5">
        <v>100903260</v>
      </c>
      <c r="I997" s="14">
        <v>41967</v>
      </c>
      <c r="J997" s="5">
        <v>8372</v>
      </c>
      <c r="K997" s="15">
        <v>437.2</v>
      </c>
      <c r="L997" s="15">
        <v>263.33</v>
      </c>
      <c r="M997" s="15">
        <v>3660238.4</v>
      </c>
      <c r="N997" s="15">
        <v>2204598.7599999998</v>
      </c>
      <c r="O997" s="16">
        <v>1455639.6400000001</v>
      </c>
    </row>
    <row r="998" spans="2:15" ht="18.75" hidden="1" x14ac:dyDescent="0.25">
      <c r="B998" s="4" t="s">
        <v>51</v>
      </c>
      <c r="C998" s="5" t="s">
        <v>87</v>
      </c>
      <c r="D998" s="5" t="s">
        <v>78</v>
      </c>
      <c r="E998" s="5" t="s">
        <v>132</v>
      </c>
      <c r="F998" s="5" t="s">
        <v>59</v>
      </c>
      <c r="G998" s="14">
        <v>40237</v>
      </c>
      <c r="H998" s="5">
        <v>100904119</v>
      </c>
      <c r="I998" s="14">
        <v>40274</v>
      </c>
      <c r="J998" s="5">
        <v>8626</v>
      </c>
      <c r="K998" s="15">
        <v>47.45</v>
      </c>
      <c r="L998" s="15">
        <v>31.79</v>
      </c>
      <c r="M998" s="15">
        <v>409303.7</v>
      </c>
      <c r="N998" s="15">
        <v>274220.53999999998</v>
      </c>
      <c r="O998" s="16">
        <v>135083.16000000003</v>
      </c>
    </row>
    <row r="999" spans="2:15" ht="18.75" hidden="1" x14ac:dyDescent="0.25">
      <c r="B999" s="4" t="s">
        <v>81</v>
      </c>
      <c r="C999" s="5" t="s">
        <v>212</v>
      </c>
      <c r="D999" s="5" t="s">
        <v>53</v>
      </c>
      <c r="E999" s="5" t="s">
        <v>132</v>
      </c>
      <c r="F999" s="5" t="s">
        <v>59</v>
      </c>
      <c r="G999" s="14">
        <v>41374</v>
      </c>
      <c r="H999" s="5">
        <v>100904548</v>
      </c>
      <c r="I999" s="14">
        <v>41407</v>
      </c>
      <c r="J999" s="5">
        <v>8753</v>
      </c>
      <c r="K999" s="15">
        <v>9.33</v>
      </c>
      <c r="L999" s="15">
        <v>6.92</v>
      </c>
      <c r="M999" s="15">
        <v>81665.490000000005</v>
      </c>
      <c r="N999" s="15">
        <v>60570.76</v>
      </c>
      <c r="O999" s="16">
        <v>21094.730000000003</v>
      </c>
    </row>
    <row r="1000" spans="2:15" ht="18.75" hidden="1" x14ac:dyDescent="0.25">
      <c r="B1000" s="4" t="s">
        <v>56</v>
      </c>
      <c r="C1000" s="5" t="s">
        <v>156</v>
      </c>
      <c r="D1000" s="5" t="s">
        <v>80</v>
      </c>
      <c r="E1000" s="5" t="s">
        <v>132</v>
      </c>
      <c r="F1000" s="5" t="s">
        <v>63</v>
      </c>
      <c r="G1000" s="14">
        <v>42512</v>
      </c>
      <c r="H1000" s="5">
        <v>100904977</v>
      </c>
      <c r="I1000" s="14">
        <v>42541</v>
      </c>
      <c r="J1000" s="5">
        <v>8880</v>
      </c>
      <c r="K1000" s="15">
        <v>668.27</v>
      </c>
      <c r="L1000" s="15">
        <v>502.54</v>
      </c>
      <c r="M1000" s="15">
        <v>5934237.5999999996</v>
      </c>
      <c r="N1000" s="15">
        <v>4462555.2</v>
      </c>
      <c r="O1000" s="16">
        <v>1471682.3999999994</v>
      </c>
    </row>
    <row r="1001" spans="2:15" ht="18.75" hidden="1" x14ac:dyDescent="0.25">
      <c r="B1001" s="4" t="s">
        <v>51</v>
      </c>
      <c r="C1001" s="5" t="s">
        <v>226</v>
      </c>
      <c r="D1001" s="5" t="s">
        <v>58</v>
      </c>
      <c r="E1001" s="5" t="s">
        <v>132</v>
      </c>
      <c r="F1001" s="5" t="s">
        <v>63</v>
      </c>
      <c r="G1001" s="14">
        <v>43649</v>
      </c>
      <c r="H1001" s="5">
        <v>100905406</v>
      </c>
      <c r="I1001" s="14">
        <v>43673</v>
      </c>
      <c r="J1001" s="5">
        <v>9007</v>
      </c>
      <c r="K1001" s="15">
        <v>255.28</v>
      </c>
      <c r="L1001" s="15">
        <v>159.41999999999999</v>
      </c>
      <c r="M1001" s="15">
        <v>2299306.96</v>
      </c>
      <c r="N1001" s="15">
        <v>1435895.94</v>
      </c>
      <c r="O1001" s="16">
        <v>863411.02</v>
      </c>
    </row>
    <row r="1002" spans="2:15" ht="18.75" hidden="1" x14ac:dyDescent="0.25">
      <c r="B1002" s="4" t="s">
        <v>60</v>
      </c>
      <c r="C1002" s="5" t="s">
        <v>213</v>
      </c>
      <c r="D1002" s="5" t="s">
        <v>68</v>
      </c>
      <c r="E1002" s="5" t="s">
        <v>132</v>
      </c>
      <c r="F1002" s="5" t="s">
        <v>70</v>
      </c>
      <c r="G1002" s="14">
        <v>41965</v>
      </c>
      <c r="H1002" s="5">
        <v>100906264</v>
      </c>
      <c r="I1002" s="14">
        <v>41981</v>
      </c>
      <c r="J1002" s="5">
        <v>9261</v>
      </c>
      <c r="K1002" s="15">
        <v>109.28</v>
      </c>
      <c r="L1002" s="15">
        <v>35.840000000000003</v>
      </c>
      <c r="M1002" s="15">
        <v>1012042.08</v>
      </c>
      <c r="N1002" s="15">
        <v>331914.24000000005</v>
      </c>
      <c r="O1002" s="16">
        <v>680127.83999999985</v>
      </c>
    </row>
    <row r="1003" spans="2:15" ht="18.75" hidden="1" x14ac:dyDescent="0.25">
      <c r="B1003" s="4" t="s">
        <v>74</v>
      </c>
      <c r="C1003" s="5" t="s">
        <v>188</v>
      </c>
      <c r="D1003" s="5" t="s">
        <v>78</v>
      </c>
      <c r="E1003" s="5" t="s">
        <v>132</v>
      </c>
      <c r="F1003" s="5" t="s">
        <v>59</v>
      </c>
      <c r="G1003" s="14">
        <v>41417</v>
      </c>
      <c r="H1003" s="5">
        <v>100907552</v>
      </c>
      <c r="I1003" s="14">
        <v>41419</v>
      </c>
      <c r="J1003" s="5">
        <v>9642</v>
      </c>
      <c r="K1003" s="15">
        <v>47.45</v>
      </c>
      <c r="L1003" s="15">
        <v>31.79</v>
      </c>
      <c r="M1003" s="15">
        <v>457512.9</v>
      </c>
      <c r="N1003" s="15">
        <v>306519.18</v>
      </c>
      <c r="O1003" s="16">
        <v>150993.72000000003</v>
      </c>
    </row>
    <row r="1004" spans="2:15" ht="18.75" hidden="1" x14ac:dyDescent="0.25">
      <c r="B1004" s="4" t="s">
        <v>81</v>
      </c>
      <c r="C1004" s="5" t="s">
        <v>158</v>
      </c>
      <c r="D1004" s="5" t="s">
        <v>80</v>
      </c>
      <c r="E1004" s="5" t="s">
        <v>132</v>
      </c>
      <c r="F1004" s="5" t="s">
        <v>63</v>
      </c>
      <c r="G1004" s="14">
        <v>43692</v>
      </c>
      <c r="H1004" s="5">
        <v>100908410</v>
      </c>
      <c r="I1004" s="14">
        <v>43737</v>
      </c>
      <c r="J1004" s="5">
        <v>9896</v>
      </c>
      <c r="K1004" s="15">
        <v>668.27</v>
      </c>
      <c r="L1004" s="15">
        <v>502.54</v>
      </c>
      <c r="M1004" s="15">
        <v>6613199.9199999999</v>
      </c>
      <c r="N1004" s="15">
        <v>4973135.84</v>
      </c>
      <c r="O1004" s="16">
        <v>1640064.08</v>
      </c>
    </row>
    <row r="1005" spans="2:15" ht="18.75" hidden="1" x14ac:dyDescent="0.25">
      <c r="B1005" s="4" t="s">
        <v>51</v>
      </c>
      <c r="C1005" s="5" t="s">
        <v>215</v>
      </c>
      <c r="D1005" s="5" t="s">
        <v>58</v>
      </c>
      <c r="E1005" s="5" t="s">
        <v>132</v>
      </c>
      <c r="F1005" s="5" t="s">
        <v>55</v>
      </c>
      <c r="G1005" s="14">
        <v>40870</v>
      </c>
      <c r="H1005" s="5">
        <v>100908839</v>
      </c>
      <c r="I1005" s="14">
        <v>40910</v>
      </c>
      <c r="J1005" s="5">
        <v>23</v>
      </c>
      <c r="K1005" s="15">
        <v>255.28</v>
      </c>
      <c r="L1005" s="15">
        <v>159.41999999999999</v>
      </c>
      <c r="M1005" s="15">
        <v>5871.44</v>
      </c>
      <c r="N1005" s="15">
        <v>3666.66</v>
      </c>
      <c r="O1005" s="16">
        <v>2204.7799999999997</v>
      </c>
    </row>
    <row r="1006" spans="2:15" ht="18.75" hidden="1" x14ac:dyDescent="0.25">
      <c r="B1006" s="4" t="s">
        <v>51</v>
      </c>
      <c r="C1006" s="5" t="s">
        <v>160</v>
      </c>
      <c r="D1006" s="5" t="s">
        <v>62</v>
      </c>
      <c r="E1006" s="5" t="s">
        <v>132</v>
      </c>
      <c r="F1006" s="5" t="s">
        <v>70</v>
      </c>
      <c r="G1006" s="14">
        <v>40323</v>
      </c>
      <c r="H1006" s="5">
        <v>100910127</v>
      </c>
      <c r="I1006" s="14">
        <v>40350</v>
      </c>
      <c r="J1006" s="5">
        <v>404</v>
      </c>
      <c r="K1006" s="15">
        <v>437.2</v>
      </c>
      <c r="L1006" s="15">
        <v>263.33</v>
      </c>
      <c r="M1006" s="15">
        <v>176628.8</v>
      </c>
      <c r="N1006" s="15">
        <v>106385.31999999999</v>
      </c>
      <c r="O1006" s="16">
        <v>70243.48</v>
      </c>
    </row>
    <row r="1007" spans="2:15" ht="18.75" hidden="1" x14ac:dyDescent="0.25">
      <c r="B1007" s="4" t="s">
        <v>81</v>
      </c>
      <c r="C1007" s="5" t="s">
        <v>190</v>
      </c>
      <c r="D1007" s="5" t="s">
        <v>76</v>
      </c>
      <c r="E1007" s="5" t="s">
        <v>132</v>
      </c>
      <c r="F1007" s="5" t="s">
        <v>59</v>
      </c>
      <c r="G1007" s="14">
        <v>41461</v>
      </c>
      <c r="H1007" s="5">
        <v>100910556</v>
      </c>
      <c r="I1007" s="14">
        <v>41484</v>
      </c>
      <c r="J1007" s="5">
        <v>531</v>
      </c>
      <c r="K1007" s="15">
        <v>421.89</v>
      </c>
      <c r="L1007" s="15">
        <v>364.69</v>
      </c>
      <c r="M1007" s="15">
        <v>224023.59</v>
      </c>
      <c r="N1007" s="15">
        <v>193650.38999999998</v>
      </c>
      <c r="O1007" s="16">
        <v>30373.200000000012</v>
      </c>
    </row>
    <row r="1008" spans="2:15" ht="18.75" hidden="1" x14ac:dyDescent="0.25">
      <c r="B1008" s="4" t="s">
        <v>51</v>
      </c>
      <c r="C1008" s="5" t="s">
        <v>161</v>
      </c>
      <c r="D1008" s="5" t="s">
        <v>53</v>
      </c>
      <c r="E1008" s="5" t="s">
        <v>132</v>
      </c>
      <c r="F1008" s="5" t="s">
        <v>63</v>
      </c>
      <c r="G1008" s="14">
        <v>43735</v>
      </c>
      <c r="H1008" s="5">
        <v>100911414</v>
      </c>
      <c r="I1008" s="14">
        <v>43749</v>
      </c>
      <c r="J1008" s="5">
        <v>785</v>
      </c>
      <c r="K1008" s="15">
        <v>9.33</v>
      </c>
      <c r="L1008" s="15">
        <v>6.92</v>
      </c>
      <c r="M1008" s="15">
        <v>7324.05</v>
      </c>
      <c r="N1008" s="15">
        <v>5432.2</v>
      </c>
      <c r="O1008" s="16">
        <v>1891.8500000000004</v>
      </c>
    </row>
    <row r="1009" spans="2:15" ht="18.75" hidden="1" x14ac:dyDescent="0.25">
      <c r="B1009" s="4" t="s">
        <v>81</v>
      </c>
      <c r="C1009" s="5" t="s">
        <v>259</v>
      </c>
      <c r="D1009" s="5" t="s">
        <v>68</v>
      </c>
      <c r="E1009" s="5" t="s">
        <v>132</v>
      </c>
      <c r="F1009" s="5" t="s">
        <v>70</v>
      </c>
      <c r="G1009" s="14">
        <v>40366</v>
      </c>
      <c r="H1009" s="5">
        <v>100913131</v>
      </c>
      <c r="I1009" s="14">
        <v>40414</v>
      </c>
      <c r="J1009" s="5">
        <v>1293</v>
      </c>
      <c r="K1009" s="15">
        <v>109.28</v>
      </c>
      <c r="L1009" s="15">
        <v>35.840000000000003</v>
      </c>
      <c r="M1009" s="15">
        <v>141299.04</v>
      </c>
      <c r="N1009" s="15">
        <v>46341.120000000003</v>
      </c>
      <c r="O1009" s="16">
        <v>94957.920000000013</v>
      </c>
    </row>
    <row r="1010" spans="2:15" ht="18.75" hidden="1" x14ac:dyDescent="0.25">
      <c r="B1010" s="4" t="s">
        <v>72</v>
      </c>
      <c r="C1010" s="5" t="s">
        <v>250</v>
      </c>
      <c r="D1010" s="5" t="s">
        <v>76</v>
      </c>
      <c r="E1010" s="5" t="s">
        <v>132</v>
      </c>
      <c r="F1010" s="5" t="s">
        <v>59</v>
      </c>
      <c r="G1010" s="14">
        <v>42641</v>
      </c>
      <c r="H1010" s="5">
        <v>100913989</v>
      </c>
      <c r="I1010" s="14">
        <v>42680</v>
      </c>
      <c r="J1010" s="5">
        <v>1547</v>
      </c>
      <c r="K1010" s="15">
        <v>421.89</v>
      </c>
      <c r="L1010" s="15">
        <v>364.69</v>
      </c>
      <c r="M1010" s="15">
        <v>652663.82999999996</v>
      </c>
      <c r="N1010" s="15">
        <v>564175.43000000005</v>
      </c>
      <c r="O1010" s="16">
        <v>88488.399999999907</v>
      </c>
    </row>
    <row r="1011" spans="2:15" ht="18.75" hidden="1" x14ac:dyDescent="0.25">
      <c r="B1011" s="4" t="s">
        <v>56</v>
      </c>
      <c r="C1011" s="5" t="s">
        <v>255</v>
      </c>
      <c r="D1011" s="5" t="s">
        <v>78</v>
      </c>
      <c r="E1011" s="5" t="s">
        <v>132</v>
      </c>
      <c r="F1011" s="5" t="s">
        <v>63</v>
      </c>
      <c r="G1011" s="14">
        <v>43778</v>
      </c>
      <c r="H1011" s="5">
        <v>100914418</v>
      </c>
      <c r="I1011" s="14">
        <v>43813</v>
      </c>
      <c r="J1011" s="5">
        <v>1674</v>
      </c>
      <c r="K1011" s="15">
        <v>47.45</v>
      </c>
      <c r="L1011" s="15">
        <v>31.79</v>
      </c>
      <c r="M1011" s="15">
        <v>79431.3</v>
      </c>
      <c r="N1011" s="15">
        <v>53216.46</v>
      </c>
      <c r="O1011" s="16">
        <v>26214.840000000004</v>
      </c>
    </row>
    <row r="1012" spans="2:15" ht="18.75" hidden="1" x14ac:dyDescent="0.25">
      <c r="B1012" s="4" t="s">
        <v>81</v>
      </c>
      <c r="C1012" s="5" t="s">
        <v>163</v>
      </c>
      <c r="D1012" s="5" t="s">
        <v>80</v>
      </c>
      <c r="E1012" s="5" t="s">
        <v>132</v>
      </c>
      <c r="F1012" s="5" t="s">
        <v>55</v>
      </c>
      <c r="G1012" s="14">
        <v>42094</v>
      </c>
      <c r="H1012" s="5">
        <v>100915277</v>
      </c>
      <c r="I1012" s="14">
        <v>42120</v>
      </c>
      <c r="J1012" s="5">
        <v>1928</v>
      </c>
      <c r="K1012" s="15">
        <v>668.27</v>
      </c>
      <c r="L1012" s="15">
        <v>502.54</v>
      </c>
      <c r="M1012" s="15">
        <v>1288424.56</v>
      </c>
      <c r="N1012" s="15">
        <v>968897.12</v>
      </c>
      <c r="O1012" s="16">
        <v>319527.44000000006</v>
      </c>
    </row>
    <row r="1013" spans="2:15" ht="18.75" hidden="1" x14ac:dyDescent="0.25">
      <c r="B1013" s="4" t="s">
        <v>51</v>
      </c>
      <c r="C1013" s="5" t="s">
        <v>219</v>
      </c>
      <c r="D1013" s="5" t="s">
        <v>93</v>
      </c>
      <c r="E1013" s="5" t="s">
        <v>132</v>
      </c>
      <c r="F1013" s="5" t="s">
        <v>63</v>
      </c>
      <c r="G1013" s="14">
        <v>43822</v>
      </c>
      <c r="H1013" s="5">
        <v>100917422</v>
      </c>
      <c r="I1013" s="14">
        <v>43826</v>
      </c>
      <c r="J1013" s="5">
        <v>2563</v>
      </c>
      <c r="K1013" s="15">
        <v>81.73</v>
      </c>
      <c r="L1013" s="15">
        <v>56.67</v>
      </c>
      <c r="M1013" s="15">
        <v>209473.99000000002</v>
      </c>
      <c r="N1013" s="15">
        <v>145245.21</v>
      </c>
      <c r="O1013" s="16">
        <v>64228.780000000028</v>
      </c>
    </row>
    <row r="1014" spans="2:15" ht="18.75" hidden="1" x14ac:dyDescent="0.25">
      <c r="B1014" s="4" t="s">
        <v>81</v>
      </c>
      <c r="C1014" s="5" t="s">
        <v>103</v>
      </c>
      <c r="D1014" s="5" t="s">
        <v>78</v>
      </c>
      <c r="E1014" s="5" t="s">
        <v>132</v>
      </c>
      <c r="F1014" s="5" t="s">
        <v>63</v>
      </c>
      <c r="G1014" s="14">
        <v>41000</v>
      </c>
      <c r="H1014" s="5">
        <v>100917851</v>
      </c>
      <c r="I1014" s="14">
        <v>41000</v>
      </c>
      <c r="J1014" s="5">
        <v>2690</v>
      </c>
      <c r="K1014" s="15">
        <v>47.45</v>
      </c>
      <c r="L1014" s="15">
        <v>31.79</v>
      </c>
      <c r="M1014" s="15">
        <v>127640.50000000001</v>
      </c>
      <c r="N1014" s="15">
        <v>85515.099999999991</v>
      </c>
      <c r="O1014" s="16">
        <v>42125.400000000023</v>
      </c>
    </row>
    <row r="1015" spans="2:15" ht="18.75" hidden="1" x14ac:dyDescent="0.25">
      <c r="B1015" s="4" t="s">
        <v>81</v>
      </c>
      <c r="C1015" s="5" t="s">
        <v>197</v>
      </c>
      <c r="D1015" s="5" t="s">
        <v>88</v>
      </c>
      <c r="E1015" s="5" t="s">
        <v>132</v>
      </c>
      <c r="F1015" s="5" t="s">
        <v>59</v>
      </c>
      <c r="G1015" s="14">
        <v>42727</v>
      </c>
      <c r="H1015" s="5">
        <v>100919997</v>
      </c>
      <c r="I1015" s="14">
        <v>42756</v>
      </c>
      <c r="J1015" s="5">
        <v>3325</v>
      </c>
      <c r="K1015" s="15">
        <v>152.58000000000001</v>
      </c>
      <c r="L1015" s="15">
        <v>97.44</v>
      </c>
      <c r="M1015" s="15">
        <v>507328.50000000006</v>
      </c>
      <c r="N1015" s="15">
        <v>323988</v>
      </c>
      <c r="O1015" s="16">
        <v>183340.50000000006</v>
      </c>
    </row>
    <row r="1016" spans="2:15" ht="18.75" x14ac:dyDescent="0.25">
      <c r="B1016" s="4" t="s">
        <v>56</v>
      </c>
      <c r="C1016" s="5" t="s">
        <v>260</v>
      </c>
      <c r="D1016" s="5" t="s">
        <v>62</v>
      </c>
      <c r="E1016" s="5" t="s">
        <v>132</v>
      </c>
      <c r="F1016" s="5" t="s">
        <v>59</v>
      </c>
      <c r="G1016" s="14">
        <v>43865</v>
      </c>
      <c r="H1016" s="5">
        <v>100920426</v>
      </c>
      <c r="I1016" s="14">
        <v>43890</v>
      </c>
      <c r="J1016" s="5">
        <v>3452</v>
      </c>
      <c r="K1016" s="15">
        <v>437.2</v>
      </c>
      <c r="L1016" s="15">
        <v>263.33</v>
      </c>
      <c r="M1016" s="15">
        <v>1509214.4</v>
      </c>
      <c r="N1016" s="15">
        <v>909015.15999999992</v>
      </c>
      <c r="O1016" s="16">
        <v>600199.24</v>
      </c>
    </row>
    <row r="1017" spans="2:15" ht="18.75" hidden="1" x14ac:dyDescent="0.25">
      <c r="B1017" s="4" t="s">
        <v>81</v>
      </c>
      <c r="C1017" s="5" t="s">
        <v>169</v>
      </c>
      <c r="D1017" s="5" t="s">
        <v>78</v>
      </c>
      <c r="E1017" s="5" t="s">
        <v>132</v>
      </c>
      <c r="F1017" s="5" t="s">
        <v>55</v>
      </c>
      <c r="G1017" s="14">
        <v>42180</v>
      </c>
      <c r="H1017" s="5">
        <v>100921285</v>
      </c>
      <c r="I1017" s="14">
        <v>42196</v>
      </c>
      <c r="J1017" s="5">
        <v>3706</v>
      </c>
      <c r="K1017" s="15">
        <v>47.45</v>
      </c>
      <c r="L1017" s="15">
        <v>31.79</v>
      </c>
      <c r="M1017" s="15">
        <v>175849.7</v>
      </c>
      <c r="N1017" s="15">
        <v>117813.73999999999</v>
      </c>
      <c r="O1017" s="16">
        <v>58035.960000000021</v>
      </c>
    </row>
    <row r="1018" spans="2:15" ht="18.75" hidden="1" x14ac:dyDescent="0.25">
      <c r="B1018" s="4" t="s">
        <v>60</v>
      </c>
      <c r="C1018" s="5" t="s">
        <v>228</v>
      </c>
      <c r="D1018" s="5" t="s">
        <v>96</v>
      </c>
      <c r="E1018" s="5" t="s">
        <v>132</v>
      </c>
      <c r="F1018" s="5" t="s">
        <v>55</v>
      </c>
      <c r="G1018" s="14">
        <v>43318</v>
      </c>
      <c r="H1018" s="5">
        <v>100921714</v>
      </c>
      <c r="I1018" s="14">
        <v>43330</v>
      </c>
      <c r="J1018" s="5">
        <v>3833</v>
      </c>
      <c r="K1018" s="15">
        <v>154.06</v>
      </c>
      <c r="L1018" s="15">
        <v>90.93</v>
      </c>
      <c r="M1018" s="15">
        <v>590511.98</v>
      </c>
      <c r="N1018" s="15">
        <v>348534.69</v>
      </c>
      <c r="O1018" s="16">
        <v>241977.28999999998</v>
      </c>
    </row>
    <row r="1019" spans="2:15" ht="18.75" hidden="1" x14ac:dyDescent="0.25">
      <c r="B1019" s="4" t="s">
        <v>81</v>
      </c>
      <c r="C1019" s="5" t="s">
        <v>110</v>
      </c>
      <c r="D1019" s="5" t="s">
        <v>62</v>
      </c>
      <c r="E1019" s="5" t="s">
        <v>132</v>
      </c>
      <c r="F1019" s="5" t="s">
        <v>63</v>
      </c>
      <c r="G1019" s="14">
        <v>41086</v>
      </c>
      <c r="H1019" s="5">
        <v>100923860</v>
      </c>
      <c r="I1019" s="14">
        <v>41127</v>
      </c>
      <c r="J1019" s="5">
        <v>4468</v>
      </c>
      <c r="K1019" s="15">
        <v>437.2</v>
      </c>
      <c r="L1019" s="15">
        <v>263.33</v>
      </c>
      <c r="M1019" s="15">
        <v>1953409.5999999999</v>
      </c>
      <c r="N1019" s="15">
        <v>1176558.44</v>
      </c>
      <c r="O1019" s="16">
        <v>776851.15999999992</v>
      </c>
    </row>
    <row r="1020" spans="2:15" ht="18.75" hidden="1" x14ac:dyDescent="0.25">
      <c r="B1020" s="4" t="s">
        <v>81</v>
      </c>
      <c r="C1020" s="5" t="s">
        <v>221</v>
      </c>
      <c r="D1020" s="5" t="s">
        <v>100</v>
      </c>
      <c r="E1020" s="5" t="s">
        <v>132</v>
      </c>
      <c r="F1020" s="5" t="s">
        <v>59</v>
      </c>
      <c r="G1020" s="14">
        <v>42814</v>
      </c>
      <c r="H1020" s="5">
        <v>100926005</v>
      </c>
      <c r="I1020" s="14">
        <v>42833</v>
      </c>
      <c r="J1020" s="5">
        <v>5103</v>
      </c>
      <c r="K1020" s="15">
        <v>205.7</v>
      </c>
      <c r="L1020" s="15">
        <v>117.11</v>
      </c>
      <c r="M1020" s="15">
        <v>1049687.0999999999</v>
      </c>
      <c r="N1020" s="15">
        <v>597612.32999999996</v>
      </c>
      <c r="O1020" s="16">
        <v>452074.7699999999</v>
      </c>
    </row>
    <row r="1021" spans="2:15" ht="18.75" x14ac:dyDescent="0.25">
      <c r="B1021" s="4" t="s">
        <v>60</v>
      </c>
      <c r="C1021" s="5" t="s">
        <v>238</v>
      </c>
      <c r="D1021" s="5" t="s">
        <v>65</v>
      </c>
      <c r="E1021" s="5" t="s">
        <v>132</v>
      </c>
      <c r="F1021" s="5" t="s">
        <v>59</v>
      </c>
      <c r="G1021" s="14">
        <v>43951</v>
      </c>
      <c r="H1021" s="5">
        <v>100926434</v>
      </c>
      <c r="I1021" s="14">
        <v>43966</v>
      </c>
      <c r="J1021" s="5">
        <v>5230</v>
      </c>
      <c r="K1021" s="15">
        <v>651.21</v>
      </c>
      <c r="L1021" s="15">
        <v>524.96</v>
      </c>
      <c r="M1021" s="15">
        <v>3405828.3000000003</v>
      </c>
      <c r="N1021" s="15">
        <v>2745540.8000000003</v>
      </c>
      <c r="O1021" s="16">
        <v>660287.5</v>
      </c>
    </row>
    <row r="1022" spans="2:15" ht="18.75" hidden="1" x14ac:dyDescent="0.25">
      <c r="B1022" s="4" t="s">
        <v>51</v>
      </c>
      <c r="C1022" s="5" t="s">
        <v>114</v>
      </c>
      <c r="D1022" s="5" t="s">
        <v>88</v>
      </c>
      <c r="E1022" s="5" t="s">
        <v>132</v>
      </c>
      <c r="F1022" s="5" t="s">
        <v>63</v>
      </c>
      <c r="G1022" s="14">
        <v>41129</v>
      </c>
      <c r="H1022" s="5">
        <v>100926864</v>
      </c>
      <c r="I1022" s="14">
        <v>41139</v>
      </c>
      <c r="J1022" s="5">
        <v>5357</v>
      </c>
      <c r="K1022" s="15">
        <v>152.58000000000001</v>
      </c>
      <c r="L1022" s="15">
        <v>97.44</v>
      </c>
      <c r="M1022" s="15">
        <v>817371.06</v>
      </c>
      <c r="N1022" s="15">
        <v>521986.08</v>
      </c>
      <c r="O1022" s="16">
        <v>295384.98000000004</v>
      </c>
    </row>
    <row r="1023" spans="2:15" ht="18.75" hidden="1" x14ac:dyDescent="0.25">
      <c r="B1023" s="4" t="s">
        <v>81</v>
      </c>
      <c r="C1023" s="5" t="s">
        <v>115</v>
      </c>
      <c r="D1023" s="5" t="s">
        <v>62</v>
      </c>
      <c r="E1023" s="5" t="s">
        <v>132</v>
      </c>
      <c r="F1023" s="5" t="s">
        <v>63</v>
      </c>
      <c r="G1023" s="14">
        <v>42267</v>
      </c>
      <c r="H1023" s="5">
        <v>100927293</v>
      </c>
      <c r="I1023" s="14">
        <v>42273</v>
      </c>
      <c r="J1023" s="5">
        <v>5484</v>
      </c>
      <c r="K1023" s="15">
        <v>437.2</v>
      </c>
      <c r="L1023" s="15">
        <v>263.33</v>
      </c>
      <c r="M1023" s="15">
        <v>2397604.7999999998</v>
      </c>
      <c r="N1023" s="15">
        <v>1444101.72</v>
      </c>
      <c r="O1023" s="16">
        <v>953503.07999999984</v>
      </c>
    </row>
    <row r="1024" spans="2:15" ht="18.75" hidden="1" x14ac:dyDescent="0.25">
      <c r="B1024" s="4" t="s">
        <v>56</v>
      </c>
      <c r="C1024" s="5" t="s">
        <v>239</v>
      </c>
      <c r="D1024" s="5" t="s">
        <v>65</v>
      </c>
      <c r="E1024" s="5" t="s">
        <v>132</v>
      </c>
      <c r="F1024" s="5" t="s">
        <v>59</v>
      </c>
      <c r="G1024" s="14">
        <v>41173</v>
      </c>
      <c r="H1024" s="5">
        <v>100929868</v>
      </c>
      <c r="I1024" s="14">
        <v>41204</v>
      </c>
      <c r="J1024" s="5">
        <v>6246</v>
      </c>
      <c r="K1024" s="15">
        <v>651.21</v>
      </c>
      <c r="L1024" s="15">
        <v>524.96</v>
      </c>
      <c r="M1024" s="15">
        <v>4067457.66</v>
      </c>
      <c r="N1024" s="15">
        <v>3278900.16</v>
      </c>
      <c r="O1024" s="16">
        <v>788557.5</v>
      </c>
    </row>
    <row r="1025" spans="2:15" ht="18.75" hidden="1" x14ac:dyDescent="0.25">
      <c r="B1025" s="4" t="s">
        <v>51</v>
      </c>
      <c r="C1025" s="5" t="s">
        <v>52</v>
      </c>
      <c r="D1025" s="5" t="s">
        <v>88</v>
      </c>
      <c r="E1025" s="5" t="s">
        <v>132</v>
      </c>
      <c r="F1025" s="5" t="s">
        <v>63</v>
      </c>
      <c r="G1025" s="14">
        <v>42310</v>
      </c>
      <c r="H1025" s="5">
        <v>100930297</v>
      </c>
      <c r="I1025" s="14">
        <v>42336</v>
      </c>
      <c r="J1025" s="5">
        <v>6373</v>
      </c>
      <c r="K1025" s="15">
        <v>152.58000000000001</v>
      </c>
      <c r="L1025" s="15">
        <v>97.44</v>
      </c>
      <c r="M1025" s="15">
        <v>972392.34000000008</v>
      </c>
      <c r="N1025" s="15">
        <v>620985.12</v>
      </c>
      <c r="O1025" s="16">
        <v>351407.22000000009</v>
      </c>
    </row>
    <row r="1026" spans="2:15" ht="18.75" hidden="1" x14ac:dyDescent="0.25">
      <c r="B1026" s="4" t="s">
        <v>81</v>
      </c>
      <c r="C1026" s="5" t="s">
        <v>119</v>
      </c>
      <c r="D1026" s="5" t="s">
        <v>62</v>
      </c>
      <c r="E1026" s="5" t="s">
        <v>132</v>
      </c>
      <c r="F1026" s="5" t="s">
        <v>55</v>
      </c>
      <c r="G1026" s="14">
        <v>43447</v>
      </c>
      <c r="H1026" s="5">
        <v>100930726</v>
      </c>
      <c r="I1026" s="14">
        <v>43469</v>
      </c>
      <c r="J1026" s="5">
        <v>6500</v>
      </c>
      <c r="K1026" s="15">
        <v>437.2</v>
      </c>
      <c r="L1026" s="15">
        <v>263.33</v>
      </c>
      <c r="M1026" s="15">
        <v>2841800</v>
      </c>
      <c r="N1026" s="15">
        <v>1711645</v>
      </c>
      <c r="O1026" s="16">
        <v>1130155</v>
      </c>
    </row>
    <row r="1027" spans="2:15" ht="18.75" hidden="1" x14ac:dyDescent="0.25">
      <c r="B1027" s="4" t="s">
        <v>56</v>
      </c>
      <c r="C1027" s="5" t="s">
        <v>57</v>
      </c>
      <c r="D1027" s="5" t="s">
        <v>93</v>
      </c>
      <c r="E1027" s="5" t="s">
        <v>132</v>
      </c>
      <c r="F1027" s="5" t="s">
        <v>55</v>
      </c>
      <c r="G1027" s="14">
        <v>40626</v>
      </c>
      <c r="H1027" s="5">
        <v>100931155</v>
      </c>
      <c r="I1027" s="14">
        <v>40644</v>
      </c>
      <c r="J1027" s="5">
        <v>6627</v>
      </c>
      <c r="K1027" s="15">
        <v>81.73</v>
      </c>
      <c r="L1027" s="15">
        <v>56.67</v>
      </c>
      <c r="M1027" s="15">
        <v>541624.71000000008</v>
      </c>
      <c r="N1027" s="15">
        <v>375552.09</v>
      </c>
      <c r="O1027" s="16">
        <v>166072.62000000005</v>
      </c>
    </row>
    <row r="1028" spans="2:15" ht="18.75" hidden="1" x14ac:dyDescent="0.25">
      <c r="B1028" s="4" t="s">
        <v>51</v>
      </c>
      <c r="C1028" s="5" t="s">
        <v>240</v>
      </c>
      <c r="D1028" s="5" t="s">
        <v>78</v>
      </c>
      <c r="E1028" s="5" t="s">
        <v>132</v>
      </c>
      <c r="F1028" s="5" t="s">
        <v>70</v>
      </c>
      <c r="G1028" s="14">
        <v>41763</v>
      </c>
      <c r="H1028" s="5">
        <v>100931584</v>
      </c>
      <c r="I1028" s="14">
        <v>41776</v>
      </c>
      <c r="J1028" s="5">
        <v>6754</v>
      </c>
      <c r="K1028" s="15">
        <v>47.45</v>
      </c>
      <c r="L1028" s="15">
        <v>31.79</v>
      </c>
      <c r="M1028" s="15">
        <v>320477.30000000005</v>
      </c>
      <c r="N1028" s="15">
        <v>214709.66</v>
      </c>
      <c r="O1028" s="16">
        <v>105767.64000000004</v>
      </c>
    </row>
    <row r="1029" spans="2:15" ht="18.75" hidden="1" x14ac:dyDescent="0.25">
      <c r="B1029" s="4" t="s">
        <v>81</v>
      </c>
      <c r="C1029" s="5" t="s">
        <v>176</v>
      </c>
      <c r="D1029" s="5" t="s">
        <v>96</v>
      </c>
      <c r="E1029" s="5" t="s">
        <v>54</v>
      </c>
      <c r="F1029" s="5" t="s">
        <v>70</v>
      </c>
      <c r="G1029" s="14">
        <v>42900</v>
      </c>
      <c r="H1029" s="5">
        <v>100932013</v>
      </c>
      <c r="I1029" s="14">
        <v>42909</v>
      </c>
      <c r="J1029" s="5">
        <v>6881</v>
      </c>
      <c r="K1029" s="15">
        <v>154.06</v>
      </c>
      <c r="L1029" s="15">
        <v>90.93</v>
      </c>
      <c r="M1029" s="15">
        <v>1060086.8600000001</v>
      </c>
      <c r="N1029" s="15">
        <v>625689.33000000007</v>
      </c>
      <c r="O1029" s="16">
        <v>434397.53</v>
      </c>
    </row>
    <row r="1030" spans="2:15" ht="18.75" x14ac:dyDescent="0.25">
      <c r="B1030" s="4" t="s">
        <v>60</v>
      </c>
      <c r="C1030" s="5" t="s">
        <v>61</v>
      </c>
      <c r="D1030" s="5" t="s">
        <v>80</v>
      </c>
      <c r="E1030" s="5" t="s">
        <v>54</v>
      </c>
      <c r="F1030" s="5" t="s">
        <v>59</v>
      </c>
      <c r="G1030" s="14">
        <v>44037</v>
      </c>
      <c r="H1030" s="5">
        <v>100932443</v>
      </c>
      <c r="I1030" s="14">
        <v>44042</v>
      </c>
      <c r="J1030" s="5">
        <v>7008</v>
      </c>
      <c r="K1030" s="15">
        <v>668.27</v>
      </c>
      <c r="L1030" s="15">
        <v>502.54</v>
      </c>
      <c r="M1030" s="15">
        <v>4683236.16</v>
      </c>
      <c r="N1030" s="15">
        <v>3521800.3200000003</v>
      </c>
      <c r="O1030" s="16">
        <v>1161435.8399999999</v>
      </c>
    </row>
    <row r="1031" spans="2:15" ht="18.75" hidden="1" x14ac:dyDescent="0.25">
      <c r="B1031" s="4" t="s">
        <v>74</v>
      </c>
      <c r="C1031" s="5" t="s">
        <v>178</v>
      </c>
      <c r="D1031" s="5" t="s">
        <v>88</v>
      </c>
      <c r="E1031" s="5" t="s">
        <v>54</v>
      </c>
      <c r="F1031" s="5" t="s">
        <v>63</v>
      </c>
      <c r="G1031" s="14">
        <v>43490</v>
      </c>
      <c r="H1031" s="5">
        <v>100933730</v>
      </c>
      <c r="I1031" s="14">
        <v>43533</v>
      </c>
      <c r="J1031" s="5">
        <v>7389</v>
      </c>
      <c r="K1031" s="15">
        <v>152.58000000000001</v>
      </c>
      <c r="L1031" s="15">
        <v>97.44</v>
      </c>
      <c r="M1031" s="15">
        <v>1127413.6200000001</v>
      </c>
      <c r="N1031" s="15">
        <v>719984.16</v>
      </c>
      <c r="O1031" s="16">
        <v>407429.46000000008</v>
      </c>
    </row>
    <row r="1032" spans="2:15" ht="18.75" hidden="1" x14ac:dyDescent="0.25">
      <c r="B1032" s="4" t="s">
        <v>72</v>
      </c>
      <c r="C1032" s="5" t="s">
        <v>245</v>
      </c>
      <c r="D1032" s="5" t="s">
        <v>62</v>
      </c>
      <c r="E1032" s="5" t="s">
        <v>54</v>
      </c>
      <c r="F1032" s="5" t="s">
        <v>55</v>
      </c>
      <c r="G1032" s="14">
        <v>40669</v>
      </c>
      <c r="H1032" s="5">
        <v>100934159</v>
      </c>
      <c r="I1032" s="14">
        <v>40707</v>
      </c>
      <c r="J1032" s="5">
        <v>7516</v>
      </c>
      <c r="K1032" s="15">
        <v>437.2</v>
      </c>
      <c r="L1032" s="15">
        <v>263.33</v>
      </c>
      <c r="M1032" s="15">
        <v>3285995.1999999997</v>
      </c>
      <c r="N1032" s="15">
        <v>1979188.2799999998</v>
      </c>
      <c r="O1032" s="16">
        <v>1306806.92</v>
      </c>
    </row>
    <row r="1033" spans="2:15" ht="18.75" hidden="1" x14ac:dyDescent="0.25">
      <c r="B1033" s="4" t="s">
        <v>60</v>
      </c>
      <c r="C1033" s="5" t="s">
        <v>69</v>
      </c>
      <c r="D1033" s="5" t="s">
        <v>88</v>
      </c>
      <c r="E1033" s="5" t="s">
        <v>54</v>
      </c>
      <c r="F1033" s="5" t="s">
        <v>55</v>
      </c>
      <c r="G1033" s="14">
        <v>40712</v>
      </c>
      <c r="H1033" s="5">
        <v>100937163</v>
      </c>
      <c r="I1033" s="14">
        <v>40720</v>
      </c>
      <c r="J1033" s="5">
        <v>8405</v>
      </c>
      <c r="K1033" s="15">
        <v>152.58000000000001</v>
      </c>
      <c r="L1033" s="15">
        <v>97.44</v>
      </c>
      <c r="M1033" s="15">
        <v>1282434.9000000001</v>
      </c>
      <c r="N1033" s="15">
        <v>818983.2</v>
      </c>
      <c r="O1033" s="16">
        <v>463451.70000000019</v>
      </c>
    </row>
    <row r="1034" spans="2:15" ht="18.75" x14ac:dyDescent="0.25">
      <c r="B1034" s="4" t="s">
        <v>60</v>
      </c>
      <c r="C1034" s="5" t="s">
        <v>71</v>
      </c>
      <c r="D1034" s="5" t="s">
        <v>58</v>
      </c>
      <c r="E1034" s="5" t="s">
        <v>54</v>
      </c>
      <c r="F1034" s="5" t="s">
        <v>70</v>
      </c>
      <c r="G1034" s="14">
        <v>44124</v>
      </c>
      <c r="H1034" s="5">
        <v>100938451</v>
      </c>
      <c r="I1034" s="14">
        <v>44170</v>
      </c>
      <c r="J1034" s="5">
        <v>8786</v>
      </c>
      <c r="K1034" s="15">
        <v>255.28</v>
      </c>
      <c r="L1034" s="15">
        <v>159.41999999999999</v>
      </c>
      <c r="M1034" s="15">
        <v>2242890.08</v>
      </c>
      <c r="N1034" s="15">
        <v>1400664.1199999999</v>
      </c>
      <c r="O1034" s="16">
        <v>842225.9600000002</v>
      </c>
    </row>
    <row r="1035" spans="2:15" ht="18.75" hidden="1" x14ac:dyDescent="0.25">
      <c r="B1035" s="4" t="s">
        <v>72</v>
      </c>
      <c r="C1035" s="5" t="s">
        <v>73</v>
      </c>
      <c r="D1035" s="5" t="s">
        <v>96</v>
      </c>
      <c r="E1035" s="5" t="s">
        <v>54</v>
      </c>
      <c r="F1035" s="5" t="s">
        <v>59</v>
      </c>
      <c r="G1035" s="14">
        <v>41302</v>
      </c>
      <c r="H1035" s="5">
        <v>100938880</v>
      </c>
      <c r="I1035" s="14">
        <v>41343</v>
      </c>
      <c r="J1035" s="5">
        <v>8913</v>
      </c>
      <c r="K1035" s="15">
        <v>154.06</v>
      </c>
      <c r="L1035" s="15">
        <v>90.93</v>
      </c>
      <c r="M1035" s="15">
        <v>1373136.78</v>
      </c>
      <c r="N1035" s="15">
        <v>810459.09000000008</v>
      </c>
      <c r="O1035" s="16">
        <v>562677.68999999994</v>
      </c>
    </row>
    <row r="1036" spans="2:15" ht="18.75" hidden="1" x14ac:dyDescent="0.25">
      <c r="B1036" s="4" t="s">
        <v>74</v>
      </c>
      <c r="C1036" s="5" t="s">
        <v>75</v>
      </c>
      <c r="D1036" s="5" t="s">
        <v>100</v>
      </c>
      <c r="E1036" s="5" t="s">
        <v>54</v>
      </c>
      <c r="F1036" s="5" t="s">
        <v>63</v>
      </c>
      <c r="G1036" s="14">
        <v>43577</v>
      </c>
      <c r="H1036" s="5">
        <v>100939738</v>
      </c>
      <c r="I1036" s="14">
        <v>43610</v>
      </c>
      <c r="J1036" s="5">
        <v>9167</v>
      </c>
      <c r="K1036" s="15">
        <v>205.7</v>
      </c>
      <c r="L1036" s="15">
        <v>117.11</v>
      </c>
      <c r="M1036" s="15">
        <v>1885651.9</v>
      </c>
      <c r="N1036" s="15">
        <v>1073547.3699999999</v>
      </c>
      <c r="O1036" s="16">
        <v>812104.53</v>
      </c>
    </row>
    <row r="1037" spans="2:15" ht="18.75" hidden="1" x14ac:dyDescent="0.25">
      <c r="B1037" s="4" t="s">
        <v>56</v>
      </c>
      <c r="C1037" s="5" t="s">
        <v>183</v>
      </c>
      <c r="D1037" s="5" t="s">
        <v>88</v>
      </c>
      <c r="E1037" s="5" t="s">
        <v>54</v>
      </c>
      <c r="F1037" s="5" t="s">
        <v>55</v>
      </c>
      <c r="G1037" s="14">
        <v>41892</v>
      </c>
      <c r="H1037" s="5">
        <v>100940597</v>
      </c>
      <c r="I1037" s="14">
        <v>41916</v>
      </c>
      <c r="J1037" s="5">
        <v>9420</v>
      </c>
      <c r="K1037" s="15">
        <v>152.58000000000001</v>
      </c>
      <c r="L1037" s="15">
        <v>97.44</v>
      </c>
      <c r="M1037" s="15">
        <v>1437303.6</v>
      </c>
      <c r="N1037" s="15">
        <v>917884.79999999993</v>
      </c>
      <c r="O1037" s="16">
        <v>519418.80000000016</v>
      </c>
    </row>
    <row r="1038" spans="2:15" ht="18.75" hidden="1" x14ac:dyDescent="0.25">
      <c r="B1038" s="4" t="s">
        <v>51</v>
      </c>
      <c r="C1038" s="5" t="s">
        <v>83</v>
      </c>
      <c r="D1038" s="5" t="s">
        <v>96</v>
      </c>
      <c r="E1038" s="5" t="s">
        <v>54</v>
      </c>
      <c r="F1038" s="5" t="s">
        <v>59</v>
      </c>
      <c r="G1038" s="14">
        <v>42483</v>
      </c>
      <c r="H1038" s="5">
        <v>100942313</v>
      </c>
      <c r="I1038" s="14">
        <v>42489</v>
      </c>
      <c r="J1038" s="5">
        <v>9928</v>
      </c>
      <c r="K1038" s="15">
        <v>154.06</v>
      </c>
      <c r="L1038" s="15">
        <v>90.93</v>
      </c>
      <c r="M1038" s="15">
        <v>1529507.68</v>
      </c>
      <c r="N1038" s="15">
        <v>902753.04</v>
      </c>
      <c r="O1038" s="16">
        <v>626754.6399999999</v>
      </c>
    </row>
    <row r="1039" spans="2:15" ht="18.75" hidden="1" x14ac:dyDescent="0.25">
      <c r="B1039" s="4" t="s">
        <v>60</v>
      </c>
      <c r="C1039" s="5" t="s">
        <v>139</v>
      </c>
      <c r="D1039" s="5" t="s">
        <v>100</v>
      </c>
      <c r="E1039" s="5" t="s">
        <v>54</v>
      </c>
      <c r="F1039" s="5" t="s">
        <v>63</v>
      </c>
      <c r="G1039" s="14">
        <v>40798</v>
      </c>
      <c r="H1039" s="5">
        <v>100943171</v>
      </c>
      <c r="I1039" s="14">
        <v>40847</v>
      </c>
      <c r="J1039" s="5">
        <v>182</v>
      </c>
      <c r="K1039" s="15">
        <v>205.7</v>
      </c>
      <c r="L1039" s="15">
        <v>117.11</v>
      </c>
      <c r="M1039" s="15">
        <v>37437.4</v>
      </c>
      <c r="N1039" s="15">
        <v>21314.02</v>
      </c>
      <c r="O1039" s="16">
        <v>16123.380000000001</v>
      </c>
    </row>
    <row r="1040" spans="2:15" ht="18.75" hidden="1" x14ac:dyDescent="0.25">
      <c r="B1040" s="4" t="s">
        <v>81</v>
      </c>
      <c r="C1040" s="5" t="s">
        <v>85</v>
      </c>
      <c r="D1040" s="5" t="s">
        <v>88</v>
      </c>
      <c r="E1040" s="5" t="s">
        <v>54</v>
      </c>
      <c r="F1040" s="5" t="s">
        <v>55</v>
      </c>
      <c r="G1040" s="14">
        <v>43073</v>
      </c>
      <c r="H1040" s="5">
        <v>100944030</v>
      </c>
      <c r="I1040" s="14">
        <v>43113</v>
      </c>
      <c r="J1040" s="5">
        <v>436</v>
      </c>
      <c r="K1040" s="15">
        <v>152.58000000000001</v>
      </c>
      <c r="L1040" s="15">
        <v>97.44</v>
      </c>
      <c r="M1040" s="15">
        <v>66524.88</v>
      </c>
      <c r="N1040" s="15">
        <v>42483.839999999997</v>
      </c>
      <c r="O1040" s="16">
        <v>24041.040000000008</v>
      </c>
    </row>
    <row r="1041" spans="2:15" ht="18.75" hidden="1" x14ac:dyDescent="0.25">
      <c r="B1041" s="4" t="s">
        <v>74</v>
      </c>
      <c r="C1041" s="5" t="s">
        <v>185</v>
      </c>
      <c r="D1041" s="5" t="s">
        <v>53</v>
      </c>
      <c r="E1041" s="5" t="s">
        <v>54</v>
      </c>
      <c r="F1041" s="5" t="s">
        <v>70</v>
      </c>
      <c r="G1041" s="14">
        <v>40251</v>
      </c>
      <c r="H1041" s="5">
        <v>100944459</v>
      </c>
      <c r="I1041" s="14">
        <v>40287</v>
      </c>
      <c r="J1041" s="5">
        <v>563</v>
      </c>
      <c r="K1041" s="15">
        <v>9.33</v>
      </c>
      <c r="L1041" s="15">
        <v>6.92</v>
      </c>
      <c r="M1041" s="15">
        <v>5252.79</v>
      </c>
      <c r="N1041" s="15">
        <v>3895.96</v>
      </c>
      <c r="O1041" s="16">
        <v>1356.83</v>
      </c>
    </row>
    <row r="1042" spans="2:15" ht="18.75" hidden="1" x14ac:dyDescent="0.25">
      <c r="B1042" s="4" t="s">
        <v>56</v>
      </c>
      <c r="C1042" s="5" t="s">
        <v>203</v>
      </c>
      <c r="D1042" s="5" t="s">
        <v>58</v>
      </c>
      <c r="E1042" s="5" t="s">
        <v>54</v>
      </c>
      <c r="F1042" s="5" t="s">
        <v>59</v>
      </c>
      <c r="G1042" s="14">
        <v>42526</v>
      </c>
      <c r="H1042" s="5">
        <v>100945317</v>
      </c>
      <c r="I1042" s="14">
        <v>42553</v>
      </c>
      <c r="J1042" s="5">
        <v>817</v>
      </c>
      <c r="K1042" s="15">
        <v>255.28</v>
      </c>
      <c r="L1042" s="15">
        <v>159.41999999999999</v>
      </c>
      <c r="M1042" s="15">
        <v>208563.76</v>
      </c>
      <c r="N1042" s="15">
        <v>130246.13999999998</v>
      </c>
      <c r="O1042" s="16">
        <v>78317.620000000024</v>
      </c>
    </row>
    <row r="1043" spans="2:15" ht="18.75" hidden="1" x14ac:dyDescent="0.25">
      <c r="B1043" s="4" t="s">
        <v>51</v>
      </c>
      <c r="C1043" s="5" t="s">
        <v>87</v>
      </c>
      <c r="D1043" s="5" t="s">
        <v>96</v>
      </c>
      <c r="E1043" s="5" t="s">
        <v>54</v>
      </c>
      <c r="F1043" s="5" t="s">
        <v>63</v>
      </c>
      <c r="G1043" s="14">
        <v>43663</v>
      </c>
      <c r="H1043" s="5">
        <v>100945746</v>
      </c>
      <c r="I1043" s="14">
        <v>43686</v>
      </c>
      <c r="J1043" s="5">
        <v>944</v>
      </c>
      <c r="K1043" s="15">
        <v>154.06</v>
      </c>
      <c r="L1043" s="15">
        <v>90.93</v>
      </c>
      <c r="M1043" s="15">
        <v>145432.64000000001</v>
      </c>
      <c r="N1043" s="15">
        <v>85837.920000000013</v>
      </c>
      <c r="O1043" s="16">
        <v>59594.720000000001</v>
      </c>
    </row>
    <row r="1044" spans="2:15" ht="18.75" hidden="1" x14ac:dyDescent="0.25">
      <c r="B1044" s="4" t="s">
        <v>56</v>
      </c>
      <c r="C1044" s="5" t="s">
        <v>143</v>
      </c>
      <c r="D1044" s="5" t="s">
        <v>100</v>
      </c>
      <c r="E1044" s="5" t="s">
        <v>54</v>
      </c>
      <c r="F1044" s="5" t="s">
        <v>55</v>
      </c>
      <c r="G1044" s="14">
        <v>41979</v>
      </c>
      <c r="H1044" s="5">
        <v>100946605</v>
      </c>
      <c r="I1044" s="14">
        <v>41993</v>
      </c>
      <c r="J1044" s="5">
        <v>1198</v>
      </c>
      <c r="K1044" s="15">
        <v>205.7</v>
      </c>
      <c r="L1044" s="15">
        <v>117.11</v>
      </c>
      <c r="M1044" s="15">
        <v>246428.59999999998</v>
      </c>
      <c r="N1044" s="15">
        <v>140297.78</v>
      </c>
      <c r="O1044" s="16">
        <v>106130.81999999998</v>
      </c>
    </row>
    <row r="1045" spans="2:15" ht="18.75" hidden="1" x14ac:dyDescent="0.25">
      <c r="B1045" s="4" t="s">
        <v>60</v>
      </c>
      <c r="C1045" s="5" t="s">
        <v>90</v>
      </c>
      <c r="D1045" s="5" t="s">
        <v>53</v>
      </c>
      <c r="E1045" s="5" t="s">
        <v>54</v>
      </c>
      <c r="F1045" s="5" t="s">
        <v>70</v>
      </c>
      <c r="G1045" s="14">
        <v>41432</v>
      </c>
      <c r="H1045" s="5">
        <v>100947892</v>
      </c>
      <c r="I1045" s="14">
        <v>41433</v>
      </c>
      <c r="J1045" s="5">
        <v>1579</v>
      </c>
      <c r="K1045" s="15">
        <v>9.33</v>
      </c>
      <c r="L1045" s="15">
        <v>6.92</v>
      </c>
      <c r="M1045" s="15">
        <v>14732.07</v>
      </c>
      <c r="N1045" s="15">
        <v>10926.68</v>
      </c>
      <c r="O1045" s="16">
        <v>3805.3899999999994</v>
      </c>
    </row>
    <row r="1046" spans="2:15" ht="18.75" hidden="1" x14ac:dyDescent="0.25">
      <c r="B1046" s="4" t="s">
        <v>51</v>
      </c>
      <c r="C1046" s="5" t="s">
        <v>205</v>
      </c>
      <c r="D1046" s="5" t="s">
        <v>93</v>
      </c>
      <c r="E1046" s="5" t="s">
        <v>54</v>
      </c>
      <c r="F1046" s="5" t="s">
        <v>59</v>
      </c>
      <c r="G1046" s="14">
        <v>42569</v>
      </c>
      <c r="H1046" s="5">
        <v>100948321</v>
      </c>
      <c r="I1046" s="14">
        <v>42616</v>
      </c>
      <c r="J1046" s="5">
        <v>1706</v>
      </c>
      <c r="K1046" s="15">
        <v>81.73</v>
      </c>
      <c r="L1046" s="15">
        <v>56.67</v>
      </c>
      <c r="M1046" s="15">
        <v>139431.38</v>
      </c>
      <c r="N1046" s="15">
        <v>96679.02</v>
      </c>
      <c r="O1046" s="16">
        <v>42752.36</v>
      </c>
    </row>
    <row r="1047" spans="2:15" ht="18.75" hidden="1" x14ac:dyDescent="0.25">
      <c r="B1047" s="4" t="s">
        <v>72</v>
      </c>
      <c r="C1047" s="5" t="s">
        <v>91</v>
      </c>
      <c r="D1047" s="5" t="s">
        <v>68</v>
      </c>
      <c r="E1047" s="5" t="s">
        <v>54</v>
      </c>
      <c r="F1047" s="5" t="s">
        <v>63</v>
      </c>
      <c r="G1047" s="14">
        <v>42022</v>
      </c>
      <c r="H1047" s="5">
        <v>100949609</v>
      </c>
      <c r="I1047" s="14">
        <v>42056</v>
      </c>
      <c r="J1047" s="5">
        <v>2087</v>
      </c>
      <c r="K1047" s="15">
        <v>109.28</v>
      </c>
      <c r="L1047" s="15">
        <v>35.840000000000003</v>
      </c>
      <c r="M1047" s="15">
        <v>228067.36000000002</v>
      </c>
      <c r="N1047" s="15">
        <v>74798.080000000002</v>
      </c>
      <c r="O1047" s="16">
        <v>153269.28000000003</v>
      </c>
    </row>
    <row r="1048" spans="2:15" ht="18.75" hidden="1" x14ac:dyDescent="0.25">
      <c r="B1048" s="4" t="s">
        <v>56</v>
      </c>
      <c r="C1048" s="5" t="s">
        <v>92</v>
      </c>
      <c r="D1048" s="5" t="s">
        <v>100</v>
      </c>
      <c r="E1048" s="5" t="s">
        <v>54</v>
      </c>
      <c r="F1048" s="5" t="s">
        <v>55</v>
      </c>
      <c r="G1048" s="14">
        <v>43159</v>
      </c>
      <c r="H1048" s="5">
        <v>100950038</v>
      </c>
      <c r="I1048" s="14">
        <v>43189</v>
      </c>
      <c r="J1048" s="5">
        <v>2214</v>
      </c>
      <c r="K1048" s="15">
        <v>205.7</v>
      </c>
      <c r="L1048" s="15">
        <v>117.11</v>
      </c>
      <c r="M1048" s="15">
        <v>455419.8</v>
      </c>
      <c r="N1048" s="15">
        <v>259281.54</v>
      </c>
      <c r="O1048" s="16">
        <v>196138.25999999998</v>
      </c>
    </row>
    <row r="1049" spans="2:15" ht="18.75" hidden="1" x14ac:dyDescent="0.25">
      <c r="B1049" s="4" t="s">
        <v>66</v>
      </c>
      <c r="C1049" s="5" t="s">
        <v>95</v>
      </c>
      <c r="D1049" s="5" t="s">
        <v>88</v>
      </c>
      <c r="E1049" s="5" t="s">
        <v>54</v>
      </c>
      <c r="F1049" s="5" t="s">
        <v>70</v>
      </c>
      <c r="G1049" s="14">
        <v>41475</v>
      </c>
      <c r="H1049" s="5">
        <v>100950896</v>
      </c>
      <c r="I1049" s="14">
        <v>41496</v>
      </c>
      <c r="J1049" s="5">
        <v>2468</v>
      </c>
      <c r="K1049" s="15">
        <v>152.58000000000001</v>
      </c>
      <c r="L1049" s="15">
        <v>97.44</v>
      </c>
      <c r="M1049" s="15">
        <v>376567.44</v>
      </c>
      <c r="N1049" s="15">
        <v>240481.91999999998</v>
      </c>
      <c r="O1049" s="16">
        <v>136085.52000000002</v>
      </c>
    </row>
    <row r="1050" spans="2:15" ht="18.75" hidden="1" x14ac:dyDescent="0.25">
      <c r="B1050" s="4" t="s">
        <v>51</v>
      </c>
      <c r="C1050" s="5" t="s">
        <v>189</v>
      </c>
      <c r="D1050" s="5" t="s">
        <v>93</v>
      </c>
      <c r="E1050" s="5" t="s">
        <v>54</v>
      </c>
      <c r="F1050" s="5" t="s">
        <v>59</v>
      </c>
      <c r="G1050" s="14">
        <v>43749</v>
      </c>
      <c r="H1050" s="5">
        <v>100951755</v>
      </c>
      <c r="I1050" s="14">
        <v>43762</v>
      </c>
      <c r="J1050" s="5">
        <v>2722</v>
      </c>
      <c r="K1050" s="15">
        <v>81.73</v>
      </c>
      <c r="L1050" s="15">
        <v>56.67</v>
      </c>
      <c r="M1050" s="15">
        <v>222469.06</v>
      </c>
      <c r="N1050" s="15">
        <v>154255.74</v>
      </c>
      <c r="O1050" s="16">
        <v>68213.320000000007</v>
      </c>
    </row>
    <row r="1051" spans="2:15" ht="18.75" hidden="1" x14ac:dyDescent="0.25">
      <c r="B1051" s="4" t="s">
        <v>81</v>
      </c>
      <c r="C1051" s="5" t="s">
        <v>259</v>
      </c>
      <c r="D1051" s="5" t="s">
        <v>53</v>
      </c>
      <c r="E1051" s="5" t="s">
        <v>54</v>
      </c>
      <c r="F1051" s="5" t="s">
        <v>59</v>
      </c>
      <c r="G1051" s="14">
        <v>43793</v>
      </c>
      <c r="H1051" s="5">
        <v>100954759</v>
      </c>
      <c r="I1051" s="14">
        <v>43826</v>
      </c>
      <c r="J1051" s="5">
        <v>3611</v>
      </c>
      <c r="K1051" s="15">
        <v>9.33</v>
      </c>
      <c r="L1051" s="15">
        <v>6.92</v>
      </c>
      <c r="M1051" s="15">
        <v>33690.629999999997</v>
      </c>
      <c r="N1051" s="15">
        <v>24988.12</v>
      </c>
      <c r="O1051" s="16">
        <v>8702.5099999999984</v>
      </c>
    </row>
    <row r="1052" spans="2:15" ht="18.75" hidden="1" x14ac:dyDescent="0.25">
      <c r="B1052" s="4" t="s">
        <v>74</v>
      </c>
      <c r="C1052" s="5" t="s">
        <v>99</v>
      </c>
      <c r="D1052" s="5" t="s">
        <v>93</v>
      </c>
      <c r="E1052" s="5" t="s">
        <v>54</v>
      </c>
      <c r="F1052" s="5" t="s">
        <v>63</v>
      </c>
      <c r="G1052" s="14">
        <v>40971</v>
      </c>
      <c r="H1052" s="5">
        <v>100955188</v>
      </c>
      <c r="I1052" s="14">
        <v>41000</v>
      </c>
      <c r="J1052" s="5">
        <v>3738</v>
      </c>
      <c r="K1052" s="15">
        <v>81.73</v>
      </c>
      <c r="L1052" s="15">
        <v>56.67</v>
      </c>
      <c r="M1052" s="15">
        <v>305506.74</v>
      </c>
      <c r="N1052" s="15">
        <v>211832.46</v>
      </c>
      <c r="O1052" s="16">
        <v>93674.28</v>
      </c>
    </row>
    <row r="1053" spans="2:15" ht="18.75" hidden="1" x14ac:dyDescent="0.25">
      <c r="B1053" s="4" t="s">
        <v>72</v>
      </c>
      <c r="C1053" s="5" t="s">
        <v>101</v>
      </c>
      <c r="D1053" s="5" t="s">
        <v>58</v>
      </c>
      <c r="E1053" s="5" t="s">
        <v>54</v>
      </c>
      <c r="F1053" s="5" t="s">
        <v>63</v>
      </c>
      <c r="G1053" s="14">
        <v>42108</v>
      </c>
      <c r="H1053" s="5">
        <v>100955617</v>
      </c>
      <c r="I1053" s="14">
        <v>42132</v>
      </c>
      <c r="J1053" s="5">
        <v>3865</v>
      </c>
      <c r="K1053" s="15">
        <v>255.28</v>
      </c>
      <c r="L1053" s="15">
        <v>159.41999999999999</v>
      </c>
      <c r="M1053" s="15">
        <v>986657.2</v>
      </c>
      <c r="N1053" s="15">
        <v>616158.29999999993</v>
      </c>
      <c r="O1053" s="16">
        <v>370498.9</v>
      </c>
    </row>
    <row r="1054" spans="2:15" ht="18.75" hidden="1" x14ac:dyDescent="0.25">
      <c r="B1054" s="4" t="s">
        <v>51</v>
      </c>
      <c r="C1054" s="5" t="s">
        <v>227</v>
      </c>
      <c r="D1054" s="5" t="s">
        <v>68</v>
      </c>
      <c r="E1054" s="5" t="s">
        <v>54</v>
      </c>
      <c r="F1054" s="5" t="s">
        <v>55</v>
      </c>
      <c r="G1054" s="14">
        <v>40424</v>
      </c>
      <c r="H1054" s="5">
        <v>100956475</v>
      </c>
      <c r="I1054" s="14">
        <v>40440</v>
      </c>
      <c r="J1054" s="5">
        <v>4119</v>
      </c>
      <c r="K1054" s="15">
        <v>109.28</v>
      </c>
      <c r="L1054" s="15">
        <v>35.840000000000003</v>
      </c>
      <c r="M1054" s="15">
        <v>450124.32</v>
      </c>
      <c r="N1054" s="15">
        <v>147624.96000000002</v>
      </c>
      <c r="O1054" s="16">
        <v>302499.36</v>
      </c>
    </row>
    <row r="1055" spans="2:15" ht="18.75" hidden="1" x14ac:dyDescent="0.25">
      <c r="B1055" s="4" t="s">
        <v>81</v>
      </c>
      <c r="C1055" s="5" t="s">
        <v>102</v>
      </c>
      <c r="D1055" s="5" t="s">
        <v>62</v>
      </c>
      <c r="E1055" s="5" t="s">
        <v>54</v>
      </c>
      <c r="F1055" s="5" t="s">
        <v>70</v>
      </c>
      <c r="G1055" s="14">
        <v>41561</v>
      </c>
      <c r="H1055" s="5">
        <v>100956904</v>
      </c>
      <c r="I1055" s="14">
        <v>41572</v>
      </c>
      <c r="J1055" s="5">
        <v>4246</v>
      </c>
      <c r="K1055" s="15">
        <v>437.2</v>
      </c>
      <c r="L1055" s="15">
        <v>263.33</v>
      </c>
      <c r="M1055" s="15">
        <v>1856351.2</v>
      </c>
      <c r="N1055" s="15">
        <v>1118099.18</v>
      </c>
      <c r="O1055" s="16">
        <v>738252.02</v>
      </c>
    </row>
    <row r="1056" spans="2:15" ht="18.75" hidden="1" x14ac:dyDescent="0.25">
      <c r="B1056" s="4" t="s">
        <v>60</v>
      </c>
      <c r="C1056" s="5" t="s">
        <v>193</v>
      </c>
      <c r="D1056" s="5" t="s">
        <v>76</v>
      </c>
      <c r="E1056" s="5" t="s">
        <v>54</v>
      </c>
      <c r="F1056" s="5" t="s">
        <v>70</v>
      </c>
      <c r="G1056" s="14">
        <v>42698</v>
      </c>
      <c r="H1056" s="5">
        <v>100957334</v>
      </c>
      <c r="I1056" s="14">
        <v>42705</v>
      </c>
      <c r="J1056" s="5">
        <v>4373</v>
      </c>
      <c r="K1056" s="15">
        <v>421.89</v>
      </c>
      <c r="L1056" s="15">
        <v>364.69</v>
      </c>
      <c r="M1056" s="15">
        <v>1844924.97</v>
      </c>
      <c r="N1056" s="15">
        <v>1594789.3699999999</v>
      </c>
      <c r="O1056" s="16">
        <v>250135.60000000009</v>
      </c>
    </row>
    <row r="1057" spans="2:15" ht="18.75" hidden="1" x14ac:dyDescent="0.25">
      <c r="B1057" s="4" t="s">
        <v>51</v>
      </c>
      <c r="C1057" s="5" t="s">
        <v>153</v>
      </c>
      <c r="D1057" s="5" t="s">
        <v>78</v>
      </c>
      <c r="E1057" s="5" t="s">
        <v>54</v>
      </c>
      <c r="F1057" s="5" t="s">
        <v>59</v>
      </c>
      <c r="G1057" s="14">
        <v>43836</v>
      </c>
      <c r="H1057" s="5">
        <v>100957763</v>
      </c>
      <c r="I1057" s="14">
        <v>43839</v>
      </c>
      <c r="J1057" s="5">
        <v>4500</v>
      </c>
      <c r="K1057" s="15">
        <v>47.45</v>
      </c>
      <c r="L1057" s="15">
        <v>31.79</v>
      </c>
      <c r="M1057" s="15">
        <v>213525</v>
      </c>
      <c r="N1057" s="15">
        <v>143055</v>
      </c>
      <c r="O1057" s="16">
        <v>70470</v>
      </c>
    </row>
    <row r="1058" spans="2:15" ht="18.75" hidden="1" x14ac:dyDescent="0.25">
      <c r="B1058" s="4" t="s">
        <v>74</v>
      </c>
      <c r="C1058" s="5" t="s">
        <v>104</v>
      </c>
      <c r="D1058" s="5" t="s">
        <v>68</v>
      </c>
      <c r="E1058" s="5" t="s">
        <v>54</v>
      </c>
      <c r="F1058" s="5" t="s">
        <v>55</v>
      </c>
      <c r="G1058" s="14">
        <v>41604</v>
      </c>
      <c r="H1058" s="5">
        <v>100959908</v>
      </c>
      <c r="I1058" s="14">
        <v>41636</v>
      </c>
      <c r="J1058" s="5">
        <v>5135</v>
      </c>
      <c r="K1058" s="15">
        <v>109.28</v>
      </c>
      <c r="L1058" s="15">
        <v>35.840000000000003</v>
      </c>
      <c r="M1058" s="15">
        <v>561152.80000000005</v>
      </c>
      <c r="N1058" s="15">
        <v>184038.40000000002</v>
      </c>
      <c r="O1058" s="16">
        <v>377114.4</v>
      </c>
    </row>
    <row r="1059" spans="2:15" ht="18.75" hidden="1" x14ac:dyDescent="0.25">
      <c r="B1059" s="4" t="s">
        <v>72</v>
      </c>
      <c r="C1059" s="5" t="s">
        <v>258</v>
      </c>
      <c r="D1059" s="5" t="s">
        <v>62</v>
      </c>
      <c r="E1059" s="5" t="s">
        <v>54</v>
      </c>
      <c r="F1059" s="5" t="s">
        <v>70</v>
      </c>
      <c r="G1059" s="14">
        <v>42742</v>
      </c>
      <c r="H1059" s="5">
        <v>100960338</v>
      </c>
      <c r="I1059" s="14">
        <v>42769</v>
      </c>
      <c r="J1059" s="5">
        <v>5262</v>
      </c>
      <c r="K1059" s="15">
        <v>437.2</v>
      </c>
      <c r="L1059" s="15">
        <v>263.33</v>
      </c>
      <c r="M1059" s="15">
        <v>2300546.4</v>
      </c>
      <c r="N1059" s="15">
        <v>1385642.46</v>
      </c>
      <c r="O1059" s="16">
        <v>914903.94</v>
      </c>
    </row>
    <row r="1060" spans="2:15" ht="18.75" x14ac:dyDescent="0.25">
      <c r="B1060" s="4" t="s">
        <v>56</v>
      </c>
      <c r="C1060" s="5" t="s">
        <v>105</v>
      </c>
      <c r="D1060" s="5" t="s">
        <v>76</v>
      </c>
      <c r="E1060" s="5" t="s">
        <v>54</v>
      </c>
      <c r="F1060" s="5" t="s">
        <v>59</v>
      </c>
      <c r="G1060" s="14">
        <v>43879</v>
      </c>
      <c r="H1060" s="5">
        <v>100960767</v>
      </c>
      <c r="I1060" s="14">
        <v>43902</v>
      </c>
      <c r="J1060" s="5">
        <v>5389</v>
      </c>
      <c r="K1060" s="15">
        <v>421.89</v>
      </c>
      <c r="L1060" s="15">
        <v>364.69</v>
      </c>
      <c r="M1060" s="15">
        <v>2273565.21</v>
      </c>
      <c r="N1060" s="15">
        <v>1965314.41</v>
      </c>
      <c r="O1060" s="16">
        <v>308250.80000000005</v>
      </c>
    </row>
    <row r="1061" spans="2:15" ht="18.75" hidden="1" x14ac:dyDescent="0.25">
      <c r="B1061" s="4" t="s">
        <v>81</v>
      </c>
      <c r="C1061" s="5" t="s">
        <v>197</v>
      </c>
      <c r="D1061" s="5" t="s">
        <v>53</v>
      </c>
      <c r="E1061" s="5" t="s">
        <v>54</v>
      </c>
      <c r="F1061" s="5" t="s">
        <v>63</v>
      </c>
      <c r="G1061" s="14">
        <v>42195</v>
      </c>
      <c r="H1061" s="5">
        <v>100961625</v>
      </c>
      <c r="I1061" s="14">
        <v>42209</v>
      </c>
      <c r="J1061" s="5">
        <v>5643</v>
      </c>
      <c r="K1061" s="15">
        <v>9.33</v>
      </c>
      <c r="L1061" s="15">
        <v>6.92</v>
      </c>
      <c r="M1061" s="15">
        <v>52649.19</v>
      </c>
      <c r="N1061" s="15">
        <v>39049.56</v>
      </c>
      <c r="O1061" s="16">
        <v>13599.630000000005</v>
      </c>
    </row>
    <row r="1062" spans="2:15" ht="18.75" hidden="1" x14ac:dyDescent="0.25">
      <c r="B1062" s="4" t="s">
        <v>56</v>
      </c>
      <c r="C1062" s="5" t="s">
        <v>106</v>
      </c>
      <c r="D1062" s="5" t="s">
        <v>80</v>
      </c>
      <c r="E1062" s="5" t="s">
        <v>54</v>
      </c>
      <c r="F1062" s="5" t="s">
        <v>63</v>
      </c>
      <c r="G1062" s="14">
        <v>43332</v>
      </c>
      <c r="H1062" s="5">
        <v>100962054</v>
      </c>
      <c r="I1062" s="14">
        <v>43342</v>
      </c>
      <c r="J1062" s="5">
        <v>5770</v>
      </c>
      <c r="K1062" s="15">
        <v>668.27</v>
      </c>
      <c r="L1062" s="15">
        <v>502.54</v>
      </c>
      <c r="M1062" s="15">
        <v>3855917.9</v>
      </c>
      <c r="N1062" s="15">
        <v>2899655.8000000003</v>
      </c>
      <c r="O1062" s="16">
        <v>956262.09999999963</v>
      </c>
    </row>
    <row r="1063" spans="2:15" ht="18.75" hidden="1" x14ac:dyDescent="0.25">
      <c r="B1063" s="4" t="s">
        <v>81</v>
      </c>
      <c r="C1063" s="5" t="s">
        <v>157</v>
      </c>
      <c r="D1063" s="5" t="s">
        <v>65</v>
      </c>
      <c r="E1063" s="5" t="s">
        <v>54</v>
      </c>
      <c r="F1063" s="5" t="s">
        <v>55</v>
      </c>
      <c r="G1063" s="14">
        <v>41647</v>
      </c>
      <c r="H1063" s="5">
        <v>100962913</v>
      </c>
      <c r="I1063" s="14">
        <v>41648</v>
      </c>
      <c r="J1063" s="5">
        <v>6024</v>
      </c>
      <c r="K1063" s="15">
        <v>651.21</v>
      </c>
      <c r="L1063" s="15">
        <v>524.96</v>
      </c>
      <c r="M1063" s="15">
        <v>3922889.04</v>
      </c>
      <c r="N1063" s="15">
        <v>3162359.04</v>
      </c>
      <c r="O1063" s="16">
        <v>760530</v>
      </c>
    </row>
    <row r="1064" spans="2:15" ht="18.75" hidden="1" x14ac:dyDescent="0.25">
      <c r="B1064" s="4" t="s">
        <v>60</v>
      </c>
      <c r="C1064" s="5" t="s">
        <v>213</v>
      </c>
      <c r="D1064" s="5" t="s">
        <v>68</v>
      </c>
      <c r="E1064" s="5" t="s">
        <v>54</v>
      </c>
      <c r="F1064" s="5" t="s">
        <v>70</v>
      </c>
      <c r="G1064" s="14">
        <v>42785</v>
      </c>
      <c r="H1064" s="5">
        <v>100963342</v>
      </c>
      <c r="I1064" s="14">
        <v>42833</v>
      </c>
      <c r="J1064" s="5">
        <v>6151</v>
      </c>
      <c r="K1064" s="15">
        <v>109.28</v>
      </c>
      <c r="L1064" s="15">
        <v>35.840000000000003</v>
      </c>
      <c r="M1064" s="15">
        <v>672181.28</v>
      </c>
      <c r="N1064" s="15">
        <v>220451.84000000003</v>
      </c>
      <c r="O1064" s="16">
        <v>451729.44</v>
      </c>
    </row>
    <row r="1065" spans="2:15" ht="18.75" x14ac:dyDescent="0.25">
      <c r="B1065" s="4" t="s">
        <v>51</v>
      </c>
      <c r="C1065" s="5" t="s">
        <v>244</v>
      </c>
      <c r="D1065" s="5" t="s">
        <v>62</v>
      </c>
      <c r="E1065" s="5" t="s">
        <v>54</v>
      </c>
      <c r="F1065" s="5" t="s">
        <v>70</v>
      </c>
      <c r="G1065" s="14">
        <v>43922</v>
      </c>
      <c r="H1065" s="5">
        <v>100963771</v>
      </c>
      <c r="I1065" s="14">
        <v>43966</v>
      </c>
      <c r="J1065" s="5">
        <v>6278</v>
      </c>
      <c r="K1065" s="15">
        <v>437.2</v>
      </c>
      <c r="L1065" s="15">
        <v>263.33</v>
      </c>
      <c r="M1065" s="15">
        <v>2744741.6</v>
      </c>
      <c r="N1065" s="15">
        <v>1653185.74</v>
      </c>
      <c r="O1065" s="16">
        <v>1091555.8600000001</v>
      </c>
    </row>
    <row r="1066" spans="2:15" ht="18.75" hidden="1" x14ac:dyDescent="0.25">
      <c r="B1066" s="4" t="s">
        <v>81</v>
      </c>
      <c r="C1066" s="5" t="s">
        <v>108</v>
      </c>
      <c r="D1066" s="5" t="s">
        <v>76</v>
      </c>
      <c r="E1066" s="5" t="s">
        <v>54</v>
      </c>
      <c r="F1066" s="5" t="s">
        <v>59</v>
      </c>
      <c r="G1066" s="14">
        <v>41100</v>
      </c>
      <c r="H1066" s="5">
        <v>100964200</v>
      </c>
      <c r="I1066" s="14">
        <v>41139</v>
      </c>
      <c r="J1066" s="5">
        <v>6405</v>
      </c>
      <c r="K1066" s="15">
        <v>421.89</v>
      </c>
      <c r="L1066" s="15">
        <v>364.69</v>
      </c>
      <c r="M1066" s="15">
        <v>2702205.4499999997</v>
      </c>
      <c r="N1066" s="15">
        <v>2335839.4500000002</v>
      </c>
      <c r="O1066" s="16">
        <v>366365.99999999953</v>
      </c>
    </row>
    <row r="1067" spans="2:15" ht="18.75" hidden="1" x14ac:dyDescent="0.25">
      <c r="B1067" s="4" t="s">
        <v>74</v>
      </c>
      <c r="C1067" s="5" t="s">
        <v>249</v>
      </c>
      <c r="D1067" s="5" t="s">
        <v>78</v>
      </c>
      <c r="E1067" s="5" t="s">
        <v>54</v>
      </c>
      <c r="F1067" s="5" t="s">
        <v>59</v>
      </c>
      <c r="G1067" s="14">
        <v>42238</v>
      </c>
      <c r="H1067" s="5">
        <v>100964629</v>
      </c>
      <c r="I1067" s="14">
        <v>42273</v>
      </c>
      <c r="J1067" s="5">
        <v>6532</v>
      </c>
      <c r="K1067" s="15">
        <v>47.45</v>
      </c>
      <c r="L1067" s="15">
        <v>31.79</v>
      </c>
      <c r="M1067" s="15">
        <v>309943.40000000002</v>
      </c>
      <c r="N1067" s="15">
        <v>207652.28</v>
      </c>
      <c r="O1067" s="16">
        <v>102291.12000000002</v>
      </c>
    </row>
    <row r="1068" spans="2:15" ht="18.75" hidden="1" x14ac:dyDescent="0.25">
      <c r="B1068" s="4" t="s">
        <v>72</v>
      </c>
      <c r="C1068" s="5" t="s">
        <v>214</v>
      </c>
      <c r="D1068" s="5" t="s">
        <v>53</v>
      </c>
      <c r="E1068" s="5" t="s">
        <v>54</v>
      </c>
      <c r="F1068" s="5" t="s">
        <v>63</v>
      </c>
      <c r="G1068" s="14">
        <v>43375</v>
      </c>
      <c r="H1068" s="5">
        <v>100965058</v>
      </c>
      <c r="I1068" s="14">
        <v>43405</v>
      </c>
      <c r="J1068" s="5">
        <v>6659</v>
      </c>
      <c r="K1068" s="15">
        <v>9.33</v>
      </c>
      <c r="L1068" s="15">
        <v>6.92</v>
      </c>
      <c r="M1068" s="15">
        <v>62128.47</v>
      </c>
      <c r="N1068" s="15">
        <v>46080.28</v>
      </c>
      <c r="O1068" s="16">
        <v>16048.190000000002</v>
      </c>
    </row>
    <row r="1069" spans="2:15" ht="18.75" hidden="1" x14ac:dyDescent="0.25">
      <c r="B1069" s="4" t="s">
        <v>81</v>
      </c>
      <c r="C1069" s="5" t="s">
        <v>110</v>
      </c>
      <c r="D1069" s="5" t="s">
        <v>80</v>
      </c>
      <c r="E1069" s="5" t="s">
        <v>54</v>
      </c>
      <c r="F1069" s="5" t="s">
        <v>55</v>
      </c>
      <c r="G1069" s="14">
        <v>40553</v>
      </c>
      <c r="H1069" s="5">
        <v>100965487</v>
      </c>
      <c r="I1069" s="14">
        <v>40579</v>
      </c>
      <c r="J1069" s="5">
        <v>6786</v>
      </c>
      <c r="K1069" s="15">
        <v>668.27</v>
      </c>
      <c r="L1069" s="15">
        <v>502.54</v>
      </c>
      <c r="M1069" s="15">
        <v>4534880.22</v>
      </c>
      <c r="N1069" s="15">
        <v>3410236.44</v>
      </c>
      <c r="O1069" s="16">
        <v>1124643.7799999998</v>
      </c>
    </row>
    <row r="1070" spans="2:15" ht="18.75" hidden="1" x14ac:dyDescent="0.25">
      <c r="B1070" s="4" t="s">
        <v>51</v>
      </c>
      <c r="C1070" s="5" t="s">
        <v>111</v>
      </c>
      <c r="D1070" s="5" t="s">
        <v>58</v>
      </c>
      <c r="E1070" s="5" t="s">
        <v>54</v>
      </c>
      <c r="F1070" s="5" t="s">
        <v>55</v>
      </c>
      <c r="G1070" s="14">
        <v>41691</v>
      </c>
      <c r="H1070" s="5">
        <v>100965917</v>
      </c>
      <c r="I1070" s="14">
        <v>41713</v>
      </c>
      <c r="J1070" s="5">
        <v>6913</v>
      </c>
      <c r="K1070" s="15">
        <v>255.28</v>
      </c>
      <c r="L1070" s="15">
        <v>159.41999999999999</v>
      </c>
      <c r="M1070" s="15">
        <v>1764750.64</v>
      </c>
      <c r="N1070" s="15">
        <v>1102070.46</v>
      </c>
      <c r="O1070" s="16">
        <v>662680.17999999993</v>
      </c>
    </row>
    <row r="1071" spans="2:15" ht="18.75" hidden="1" x14ac:dyDescent="0.25">
      <c r="B1071" s="4" t="s">
        <v>81</v>
      </c>
      <c r="C1071" s="5" t="s">
        <v>199</v>
      </c>
      <c r="D1071" s="5" t="s">
        <v>76</v>
      </c>
      <c r="E1071" s="5" t="s">
        <v>54</v>
      </c>
      <c r="F1071" s="5" t="s">
        <v>59</v>
      </c>
      <c r="G1071" s="14">
        <v>42281</v>
      </c>
      <c r="H1071" s="5">
        <v>100967633</v>
      </c>
      <c r="I1071" s="14">
        <v>42285</v>
      </c>
      <c r="J1071" s="5">
        <v>7421</v>
      </c>
      <c r="K1071" s="15">
        <v>421.89</v>
      </c>
      <c r="L1071" s="15">
        <v>364.69</v>
      </c>
      <c r="M1071" s="15">
        <v>3130845.69</v>
      </c>
      <c r="N1071" s="15">
        <v>2706364.4899999998</v>
      </c>
      <c r="O1071" s="16">
        <v>424481.20000000019</v>
      </c>
    </row>
    <row r="1072" spans="2:15" ht="18.75" hidden="1" x14ac:dyDescent="0.25">
      <c r="B1072" s="4" t="s">
        <v>81</v>
      </c>
      <c r="C1072" s="5" t="s">
        <v>115</v>
      </c>
      <c r="D1072" s="5" t="s">
        <v>80</v>
      </c>
      <c r="E1072" s="5" t="s">
        <v>54</v>
      </c>
      <c r="F1072" s="5" t="s">
        <v>55</v>
      </c>
      <c r="G1072" s="14">
        <v>41734</v>
      </c>
      <c r="H1072" s="5">
        <v>100968921</v>
      </c>
      <c r="I1072" s="14">
        <v>41776</v>
      </c>
      <c r="J1072" s="5">
        <v>7802</v>
      </c>
      <c r="K1072" s="15">
        <v>668.27</v>
      </c>
      <c r="L1072" s="15">
        <v>502.54</v>
      </c>
      <c r="M1072" s="15">
        <v>5213842.54</v>
      </c>
      <c r="N1072" s="15">
        <v>3920817.08</v>
      </c>
      <c r="O1072" s="16">
        <v>1293025.46</v>
      </c>
    </row>
    <row r="1073" spans="2:15" ht="18.75" hidden="1" x14ac:dyDescent="0.25">
      <c r="B1073" s="4" t="s">
        <v>56</v>
      </c>
      <c r="C1073" s="5" t="s">
        <v>218</v>
      </c>
      <c r="D1073" s="5" t="s">
        <v>78</v>
      </c>
      <c r="E1073" s="5" t="s">
        <v>54</v>
      </c>
      <c r="F1073" s="5" t="s">
        <v>63</v>
      </c>
      <c r="G1073" s="14">
        <v>40640</v>
      </c>
      <c r="H1073" s="5">
        <v>100971496</v>
      </c>
      <c r="I1073" s="14">
        <v>40656</v>
      </c>
      <c r="J1073" s="5">
        <v>8564</v>
      </c>
      <c r="K1073" s="15">
        <v>47.45</v>
      </c>
      <c r="L1073" s="15">
        <v>31.79</v>
      </c>
      <c r="M1073" s="15">
        <v>406361.80000000005</v>
      </c>
      <c r="N1073" s="15">
        <v>272249.56</v>
      </c>
      <c r="O1073" s="16">
        <v>134112.24000000005</v>
      </c>
    </row>
    <row r="1074" spans="2:15" ht="18.75" hidden="1" x14ac:dyDescent="0.25">
      <c r="B1074" s="4" t="s">
        <v>81</v>
      </c>
      <c r="C1074" s="5" t="s">
        <v>119</v>
      </c>
      <c r="D1074" s="5" t="s">
        <v>80</v>
      </c>
      <c r="E1074" s="5" t="s">
        <v>54</v>
      </c>
      <c r="F1074" s="5" t="s">
        <v>55</v>
      </c>
      <c r="G1074" s="14">
        <v>42914</v>
      </c>
      <c r="H1074" s="5">
        <v>100972354</v>
      </c>
      <c r="I1074" s="14">
        <v>42921</v>
      </c>
      <c r="J1074" s="5">
        <v>8818</v>
      </c>
      <c r="K1074" s="15">
        <v>668.27</v>
      </c>
      <c r="L1074" s="15">
        <v>502.54</v>
      </c>
      <c r="M1074" s="15">
        <v>5892804.8599999994</v>
      </c>
      <c r="N1074" s="15">
        <v>4431397.72</v>
      </c>
      <c r="O1074" s="16">
        <v>1461407.1399999997</v>
      </c>
    </row>
    <row r="1075" spans="2:15" ht="18.75" hidden="1" x14ac:dyDescent="0.25">
      <c r="B1075" s="4" t="s">
        <v>51</v>
      </c>
      <c r="C1075" s="5" t="s">
        <v>122</v>
      </c>
      <c r="D1075" s="5" t="s">
        <v>76</v>
      </c>
      <c r="E1075" s="5" t="s">
        <v>54</v>
      </c>
      <c r="F1075" s="5" t="s">
        <v>63</v>
      </c>
      <c r="G1075" s="14">
        <v>40683</v>
      </c>
      <c r="H1075" s="5">
        <v>100974500</v>
      </c>
      <c r="I1075" s="14">
        <v>40720</v>
      </c>
      <c r="J1075" s="5">
        <v>9453</v>
      </c>
      <c r="K1075" s="15">
        <v>421.89</v>
      </c>
      <c r="L1075" s="15">
        <v>364.69</v>
      </c>
      <c r="M1075" s="15">
        <v>3988126.17</v>
      </c>
      <c r="N1075" s="15">
        <v>3447414.57</v>
      </c>
      <c r="O1075" s="16">
        <v>540711.60000000009</v>
      </c>
    </row>
    <row r="1076" spans="2:15" ht="18.75" hidden="1" x14ac:dyDescent="0.25">
      <c r="B1076" s="4" t="s">
        <v>74</v>
      </c>
      <c r="C1076" s="5" t="s">
        <v>123</v>
      </c>
      <c r="D1076" s="5" t="s">
        <v>53</v>
      </c>
      <c r="E1076" s="5" t="s">
        <v>54</v>
      </c>
      <c r="F1076" s="5" t="s">
        <v>55</v>
      </c>
      <c r="G1076" s="14">
        <v>42957</v>
      </c>
      <c r="H1076" s="5">
        <v>100975358</v>
      </c>
      <c r="I1076" s="14">
        <v>42985</v>
      </c>
      <c r="J1076" s="5">
        <v>9707</v>
      </c>
      <c r="K1076" s="15">
        <v>9.33</v>
      </c>
      <c r="L1076" s="15">
        <v>6.92</v>
      </c>
      <c r="M1076" s="15">
        <v>90566.31</v>
      </c>
      <c r="N1076" s="15">
        <v>67172.44</v>
      </c>
      <c r="O1076" s="16">
        <v>23393.869999999995</v>
      </c>
    </row>
    <row r="1077" spans="2:15" ht="18.75" hidden="1" x14ac:dyDescent="0.25">
      <c r="B1077" s="4" t="s">
        <v>51</v>
      </c>
      <c r="C1077" s="5" t="s">
        <v>202</v>
      </c>
      <c r="D1077" s="5" t="s">
        <v>65</v>
      </c>
      <c r="E1077" s="5" t="s">
        <v>54</v>
      </c>
      <c r="F1077" s="5" t="s">
        <v>59</v>
      </c>
      <c r="G1077" s="14">
        <v>42410</v>
      </c>
      <c r="H1077" s="5">
        <v>100976645</v>
      </c>
      <c r="I1077" s="14">
        <v>42425</v>
      </c>
      <c r="J1077" s="5">
        <v>88</v>
      </c>
      <c r="K1077" s="15">
        <v>651.21</v>
      </c>
      <c r="L1077" s="15">
        <v>524.96</v>
      </c>
      <c r="M1077" s="15">
        <v>57306.48</v>
      </c>
      <c r="N1077" s="15">
        <v>46196.480000000003</v>
      </c>
      <c r="O1077" s="16">
        <v>11110</v>
      </c>
    </row>
    <row r="1078" spans="2:15" ht="18.75" hidden="1" x14ac:dyDescent="0.25">
      <c r="B1078" s="4" t="s">
        <v>66</v>
      </c>
      <c r="C1078" s="5" t="s">
        <v>167</v>
      </c>
      <c r="D1078" s="5" t="s">
        <v>88</v>
      </c>
      <c r="E1078" s="5" t="s">
        <v>54</v>
      </c>
      <c r="F1078" s="5" t="s">
        <v>59</v>
      </c>
      <c r="G1078" s="14">
        <v>43548</v>
      </c>
      <c r="H1078" s="5">
        <v>100977075</v>
      </c>
      <c r="I1078" s="14">
        <v>43558</v>
      </c>
      <c r="J1078" s="5">
        <v>215</v>
      </c>
      <c r="K1078" s="15">
        <v>152.58000000000001</v>
      </c>
      <c r="L1078" s="15">
        <v>97.44</v>
      </c>
      <c r="M1078" s="15">
        <v>32804.700000000004</v>
      </c>
      <c r="N1078" s="15">
        <v>20949.599999999999</v>
      </c>
      <c r="O1078" s="16">
        <v>11855.100000000006</v>
      </c>
    </row>
    <row r="1079" spans="2:15" ht="18.75" hidden="1" x14ac:dyDescent="0.25">
      <c r="B1079" s="4" t="s">
        <v>81</v>
      </c>
      <c r="C1079" s="5" t="s">
        <v>126</v>
      </c>
      <c r="D1079" s="5" t="s">
        <v>78</v>
      </c>
      <c r="E1079" s="5" t="s">
        <v>54</v>
      </c>
      <c r="F1079" s="5" t="s">
        <v>55</v>
      </c>
      <c r="G1079" s="14">
        <v>43001</v>
      </c>
      <c r="H1079" s="5">
        <v>100978362</v>
      </c>
      <c r="I1079" s="14">
        <v>43049</v>
      </c>
      <c r="J1079" s="5">
        <v>596</v>
      </c>
      <c r="K1079" s="15">
        <v>47.45</v>
      </c>
      <c r="L1079" s="15">
        <v>31.79</v>
      </c>
      <c r="M1079" s="15">
        <v>28280.2</v>
      </c>
      <c r="N1079" s="15">
        <v>18946.84</v>
      </c>
      <c r="O1079" s="16">
        <v>9333.36</v>
      </c>
    </row>
    <row r="1080" spans="2:15" ht="18.75" hidden="1" x14ac:dyDescent="0.25">
      <c r="B1080" s="4" t="s">
        <v>60</v>
      </c>
      <c r="C1080" s="5" t="s">
        <v>127</v>
      </c>
      <c r="D1080" s="5" t="s">
        <v>96</v>
      </c>
      <c r="E1080" s="5" t="s">
        <v>54</v>
      </c>
      <c r="F1080" s="5" t="s">
        <v>55</v>
      </c>
      <c r="G1080" s="14">
        <v>40179</v>
      </c>
      <c r="H1080" s="5">
        <v>100978791</v>
      </c>
      <c r="I1080" s="14">
        <v>40223</v>
      </c>
      <c r="J1080" s="5">
        <v>723</v>
      </c>
      <c r="K1080" s="15">
        <v>154.06</v>
      </c>
      <c r="L1080" s="15">
        <v>90.93</v>
      </c>
      <c r="M1080" s="15">
        <v>111385.38</v>
      </c>
      <c r="N1080" s="15">
        <v>65742.39</v>
      </c>
      <c r="O1080" s="16">
        <v>45642.990000000005</v>
      </c>
    </row>
    <row r="1081" spans="2:15" ht="18.75" hidden="1" x14ac:dyDescent="0.25">
      <c r="B1081" s="4" t="s">
        <v>51</v>
      </c>
      <c r="C1081" s="5" t="s">
        <v>170</v>
      </c>
      <c r="D1081" s="5" t="s">
        <v>80</v>
      </c>
      <c r="E1081" s="5" t="s">
        <v>54</v>
      </c>
      <c r="F1081" s="5" t="s">
        <v>70</v>
      </c>
      <c r="G1081" s="14">
        <v>41316</v>
      </c>
      <c r="H1081" s="5">
        <v>100979220</v>
      </c>
      <c r="I1081" s="14">
        <v>41356</v>
      </c>
      <c r="J1081" s="5">
        <v>850</v>
      </c>
      <c r="K1081" s="15">
        <v>668.27</v>
      </c>
      <c r="L1081" s="15">
        <v>502.54</v>
      </c>
      <c r="M1081" s="15">
        <v>568029.5</v>
      </c>
      <c r="N1081" s="15">
        <v>427159</v>
      </c>
      <c r="O1081" s="16">
        <v>140870.5</v>
      </c>
    </row>
    <row r="1082" spans="2:15" ht="18.75" hidden="1" x14ac:dyDescent="0.25">
      <c r="B1082" s="4" t="s">
        <v>60</v>
      </c>
      <c r="C1082" s="5" t="s">
        <v>130</v>
      </c>
      <c r="D1082" s="5" t="s">
        <v>65</v>
      </c>
      <c r="E1082" s="5" t="s">
        <v>54</v>
      </c>
      <c r="F1082" s="5" t="s">
        <v>59</v>
      </c>
      <c r="G1082" s="14">
        <v>43591</v>
      </c>
      <c r="H1082" s="5">
        <v>100980079</v>
      </c>
      <c r="I1082" s="14">
        <v>43622</v>
      </c>
      <c r="J1082" s="5">
        <v>1104</v>
      </c>
      <c r="K1082" s="15">
        <v>651.21</v>
      </c>
      <c r="L1082" s="15">
        <v>524.96</v>
      </c>
      <c r="M1082" s="15">
        <v>718935.84000000008</v>
      </c>
      <c r="N1082" s="15">
        <v>579555.84000000008</v>
      </c>
      <c r="O1082" s="16">
        <v>139380</v>
      </c>
    </row>
    <row r="1083" spans="2:15" ht="18.75" hidden="1" x14ac:dyDescent="0.25">
      <c r="B1083" s="4" t="s">
        <v>72</v>
      </c>
      <c r="C1083" s="5" t="s">
        <v>131</v>
      </c>
      <c r="D1083" s="5" t="s">
        <v>88</v>
      </c>
      <c r="E1083" s="5" t="s">
        <v>54</v>
      </c>
      <c r="F1083" s="5" t="s">
        <v>63</v>
      </c>
      <c r="G1083" s="14">
        <v>40769</v>
      </c>
      <c r="H1083" s="5">
        <v>100980508</v>
      </c>
      <c r="I1083" s="14">
        <v>40796</v>
      </c>
      <c r="J1083" s="5">
        <v>1231</v>
      </c>
      <c r="K1083" s="15">
        <v>152.58000000000001</v>
      </c>
      <c r="L1083" s="15">
        <v>97.44</v>
      </c>
      <c r="M1083" s="15">
        <v>187825.98</v>
      </c>
      <c r="N1083" s="15">
        <v>119948.64</v>
      </c>
      <c r="O1083" s="16">
        <v>67877.340000000011</v>
      </c>
    </row>
    <row r="1084" spans="2:15" ht="18.75" hidden="1" x14ac:dyDescent="0.25">
      <c r="B1084" s="4" t="s">
        <v>74</v>
      </c>
      <c r="C1084" s="5" t="s">
        <v>75</v>
      </c>
      <c r="D1084" s="5" t="s">
        <v>93</v>
      </c>
      <c r="E1084" s="5" t="s">
        <v>54</v>
      </c>
      <c r="F1084" s="5" t="s">
        <v>55</v>
      </c>
      <c r="G1084" s="14">
        <v>43044</v>
      </c>
      <c r="H1084" s="5">
        <v>100981366</v>
      </c>
      <c r="I1084" s="14">
        <v>43062</v>
      </c>
      <c r="J1084" s="5">
        <v>1485</v>
      </c>
      <c r="K1084" s="15">
        <v>81.73</v>
      </c>
      <c r="L1084" s="15">
        <v>56.67</v>
      </c>
      <c r="M1084" s="15">
        <v>121369.05</v>
      </c>
      <c r="N1084" s="15">
        <v>84154.95</v>
      </c>
      <c r="O1084" s="16">
        <v>37214.100000000006</v>
      </c>
    </row>
    <row r="1085" spans="2:15" ht="18.75" hidden="1" x14ac:dyDescent="0.25">
      <c r="B1085" s="4" t="s">
        <v>56</v>
      </c>
      <c r="C1085" s="5" t="s">
        <v>135</v>
      </c>
      <c r="D1085" s="5" t="s">
        <v>96</v>
      </c>
      <c r="E1085" s="5" t="s">
        <v>54</v>
      </c>
      <c r="F1085" s="5" t="s">
        <v>70</v>
      </c>
      <c r="G1085" s="14">
        <v>41359</v>
      </c>
      <c r="H1085" s="5">
        <v>100982224</v>
      </c>
      <c r="I1085" s="14">
        <v>41368</v>
      </c>
      <c r="J1085" s="5">
        <v>1739</v>
      </c>
      <c r="K1085" s="15">
        <v>154.06</v>
      </c>
      <c r="L1085" s="15">
        <v>90.93</v>
      </c>
      <c r="M1085" s="15">
        <v>267910.34000000003</v>
      </c>
      <c r="N1085" s="15">
        <v>158127.27000000002</v>
      </c>
      <c r="O1085" s="16">
        <v>109783.07</v>
      </c>
    </row>
    <row r="1086" spans="2:15" ht="18.75" hidden="1" x14ac:dyDescent="0.25">
      <c r="B1086" s="4" t="s">
        <v>81</v>
      </c>
      <c r="C1086" s="5" t="s">
        <v>82</v>
      </c>
      <c r="D1086" s="5" t="s">
        <v>100</v>
      </c>
      <c r="E1086" s="5" t="s">
        <v>54</v>
      </c>
      <c r="F1086" s="5" t="s">
        <v>59</v>
      </c>
      <c r="G1086" s="14">
        <v>43634</v>
      </c>
      <c r="H1086" s="5">
        <v>100983083</v>
      </c>
      <c r="I1086" s="14">
        <v>43634</v>
      </c>
      <c r="J1086" s="5">
        <v>1993</v>
      </c>
      <c r="K1086" s="15">
        <v>205.7</v>
      </c>
      <c r="L1086" s="15">
        <v>117.11</v>
      </c>
      <c r="M1086" s="15">
        <v>409960.1</v>
      </c>
      <c r="N1086" s="15">
        <v>233400.23</v>
      </c>
      <c r="O1086" s="16">
        <v>176559.86999999997</v>
      </c>
    </row>
    <row r="1087" spans="2:15" ht="18.75" hidden="1" x14ac:dyDescent="0.25">
      <c r="B1087" s="4" t="s">
        <v>60</v>
      </c>
      <c r="C1087" s="5" t="s">
        <v>232</v>
      </c>
      <c r="D1087" s="5" t="s">
        <v>65</v>
      </c>
      <c r="E1087" s="5" t="s">
        <v>54</v>
      </c>
      <c r="F1087" s="5" t="s">
        <v>59</v>
      </c>
      <c r="G1087" s="14">
        <v>40812</v>
      </c>
      <c r="H1087" s="5">
        <v>100983512</v>
      </c>
      <c r="I1087" s="14">
        <v>40859</v>
      </c>
      <c r="J1087" s="5">
        <v>2120</v>
      </c>
      <c r="K1087" s="15">
        <v>651.21</v>
      </c>
      <c r="L1087" s="15">
        <v>524.96</v>
      </c>
      <c r="M1087" s="15">
        <v>1380565.2000000002</v>
      </c>
      <c r="N1087" s="15">
        <v>1112915.2000000002</v>
      </c>
      <c r="O1087" s="16">
        <v>267650</v>
      </c>
    </row>
    <row r="1088" spans="2:15" ht="18.75" hidden="1" x14ac:dyDescent="0.25">
      <c r="B1088" s="4" t="s">
        <v>51</v>
      </c>
      <c r="C1088" s="5" t="s">
        <v>137</v>
      </c>
      <c r="D1088" s="5" t="s">
        <v>88</v>
      </c>
      <c r="E1088" s="5" t="s">
        <v>54</v>
      </c>
      <c r="F1088" s="5" t="s">
        <v>63</v>
      </c>
      <c r="G1088" s="14">
        <v>41950</v>
      </c>
      <c r="H1088" s="5">
        <v>100983941</v>
      </c>
      <c r="I1088" s="14">
        <v>41993</v>
      </c>
      <c r="J1088" s="5">
        <v>2247</v>
      </c>
      <c r="K1088" s="15">
        <v>152.58000000000001</v>
      </c>
      <c r="L1088" s="15">
        <v>97.44</v>
      </c>
      <c r="M1088" s="15">
        <v>342847.26</v>
      </c>
      <c r="N1088" s="15">
        <v>218947.68</v>
      </c>
      <c r="O1088" s="16">
        <v>123899.58000000002</v>
      </c>
    </row>
    <row r="1089" spans="2:15" ht="18.75" hidden="1" x14ac:dyDescent="0.25">
      <c r="B1089" s="4" t="s">
        <v>81</v>
      </c>
      <c r="C1089" s="5" t="s">
        <v>138</v>
      </c>
      <c r="D1089" s="5" t="s">
        <v>62</v>
      </c>
      <c r="E1089" s="5" t="s">
        <v>54</v>
      </c>
      <c r="F1089" s="5" t="s">
        <v>63</v>
      </c>
      <c r="G1089" s="14">
        <v>43087</v>
      </c>
      <c r="H1089" s="5">
        <v>100984370</v>
      </c>
      <c r="I1089" s="14">
        <v>43125</v>
      </c>
      <c r="J1089" s="5">
        <v>2374</v>
      </c>
      <c r="K1089" s="15">
        <v>437.2</v>
      </c>
      <c r="L1089" s="15">
        <v>263.33</v>
      </c>
      <c r="M1089" s="15">
        <v>1037912.7999999999</v>
      </c>
      <c r="N1089" s="15">
        <v>625145.41999999993</v>
      </c>
      <c r="O1089" s="16">
        <v>412767.38</v>
      </c>
    </row>
    <row r="1090" spans="2:15" ht="18.75" hidden="1" x14ac:dyDescent="0.25">
      <c r="B1090" s="4" t="s">
        <v>60</v>
      </c>
      <c r="C1090" s="5" t="s">
        <v>254</v>
      </c>
      <c r="D1090" s="5" t="s">
        <v>93</v>
      </c>
      <c r="E1090" s="5" t="s">
        <v>54</v>
      </c>
      <c r="F1090" s="5" t="s">
        <v>55</v>
      </c>
      <c r="G1090" s="14">
        <v>40265</v>
      </c>
      <c r="H1090" s="5">
        <v>100984799</v>
      </c>
      <c r="I1090" s="14">
        <v>40299</v>
      </c>
      <c r="J1090" s="5">
        <v>2501</v>
      </c>
      <c r="K1090" s="15">
        <v>81.73</v>
      </c>
      <c r="L1090" s="15">
        <v>56.67</v>
      </c>
      <c r="M1090" s="15">
        <v>204406.73</v>
      </c>
      <c r="N1090" s="15">
        <v>141731.67000000001</v>
      </c>
      <c r="O1090" s="16">
        <v>62675.06</v>
      </c>
    </row>
    <row r="1091" spans="2:15" ht="18.75" hidden="1" x14ac:dyDescent="0.25">
      <c r="B1091" s="4" t="s">
        <v>51</v>
      </c>
      <c r="C1091" s="5" t="s">
        <v>233</v>
      </c>
      <c r="D1091" s="5" t="s">
        <v>78</v>
      </c>
      <c r="E1091" s="5" t="s">
        <v>54</v>
      </c>
      <c r="F1091" s="5" t="s">
        <v>70</v>
      </c>
      <c r="G1091" s="14">
        <v>41403</v>
      </c>
      <c r="H1091" s="5">
        <v>100985229</v>
      </c>
      <c r="I1091" s="14">
        <v>41433</v>
      </c>
      <c r="J1091" s="5">
        <v>2628</v>
      </c>
      <c r="K1091" s="15">
        <v>47.45</v>
      </c>
      <c r="L1091" s="15">
        <v>31.79</v>
      </c>
      <c r="M1091" s="15">
        <v>124698.6</v>
      </c>
      <c r="N1091" s="15">
        <v>83544.12</v>
      </c>
      <c r="O1091" s="16">
        <v>41154.48000000001</v>
      </c>
    </row>
    <row r="1092" spans="2:15" ht="18.75" hidden="1" x14ac:dyDescent="0.25">
      <c r="B1092" s="4" t="s">
        <v>81</v>
      </c>
      <c r="C1092" s="5" t="s">
        <v>140</v>
      </c>
      <c r="D1092" s="5" t="s">
        <v>96</v>
      </c>
      <c r="E1092" s="5" t="s">
        <v>54</v>
      </c>
      <c r="F1092" s="5" t="s">
        <v>70</v>
      </c>
      <c r="G1092" s="14">
        <v>42540</v>
      </c>
      <c r="H1092" s="5">
        <v>100985658</v>
      </c>
      <c r="I1092" s="14">
        <v>42565</v>
      </c>
      <c r="J1092" s="5">
        <v>2755</v>
      </c>
      <c r="K1092" s="15">
        <v>154.06</v>
      </c>
      <c r="L1092" s="15">
        <v>90.93</v>
      </c>
      <c r="M1092" s="15">
        <v>424435.3</v>
      </c>
      <c r="N1092" s="15">
        <v>250512.15000000002</v>
      </c>
      <c r="O1092" s="16">
        <v>173923.14999999997</v>
      </c>
    </row>
    <row r="1093" spans="2:15" ht="18.75" hidden="1" x14ac:dyDescent="0.25">
      <c r="B1093" s="4" t="s">
        <v>74</v>
      </c>
      <c r="C1093" s="5" t="s">
        <v>141</v>
      </c>
      <c r="D1093" s="5" t="s">
        <v>80</v>
      </c>
      <c r="E1093" s="5" t="s">
        <v>54</v>
      </c>
      <c r="F1093" s="5" t="s">
        <v>59</v>
      </c>
      <c r="G1093" s="14">
        <v>43677</v>
      </c>
      <c r="H1093" s="5">
        <v>100986087</v>
      </c>
      <c r="I1093" s="14">
        <v>43698</v>
      </c>
      <c r="J1093" s="5">
        <v>2882</v>
      </c>
      <c r="K1093" s="15">
        <v>668.27</v>
      </c>
      <c r="L1093" s="15">
        <v>502.54</v>
      </c>
      <c r="M1093" s="15">
        <v>1925954.14</v>
      </c>
      <c r="N1093" s="15">
        <v>1448320.28</v>
      </c>
      <c r="O1093" s="16">
        <v>477633.85999999987</v>
      </c>
    </row>
    <row r="1094" spans="2:15" ht="18.75" hidden="1" x14ac:dyDescent="0.25">
      <c r="B1094" s="4" t="s">
        <v>56</v>
      </c>
      <c r="C1094" s="5" t="s">
        <v>203</v>
      </c>
      <c r="D1094" s="5" t="s">
        <v>65</v>
      </c>
      <c r="E1094" s="5" t="s">
        <v>54</v>
      </c>
      <c r="F1094" s="5" t="s">
        <v>63</v>
      </c>
      <c r="G1094" s="14">
        <v>41993</v>
      </c>
      <c r="H1094" s="5">
        <v>100986945</v>
      </c>
      <c r="I1094" s="14">
        <v>42005</v>
      </c>
      <c r="J1094" s="5">
        <v>3136</v>
      </c>
      <c r="K1094" s="15">
        <v>651.21</v>
      </c>
      <c r="L1094" s="15">
        <v>524.96</v>
      </c>
      <c r="M1094" s="15">
        <v>2042194.56</v>
      </c>
      <c r="N1094" s="15">
        <v>1646274.5600000001</v>
      </c>
      <c r="O1094" s="16">
        <v>395920</v>
      </c>
    </row>
    <row r="1095" spans="2:15" ht="18.75" hidden="1" x14ac:dyDescent="0.25">
      <c r="B1095" s="4" t="s">
        <v>51</v>
      </c>
      <c r="C1095" s="5" t="s">
        <v>144</v>
      </c>
      <c r="D1095" s="5" t="s">
        <v>78</v>
      </c>
      <c r="E1095" s="5" t="s">
        <v>54</v>
      </c>
      <c r="F1095" s="5" t="s">
        <v>70</v>
      </c>
      <c r="G1095" s="14">
        <v>42583</v>
      </c>
      <c r="H1095" s="5">
        <v>100988662</v>
      </c>
      <c r="I1095" s="14">
        <v>42629</v>
      </c>
      <c r="J1095" s="5">
        <v>3644</v>
      </c>
      <c r="K1095" s="15">
        <v>47.45</v>
      </c>
      <c r="L1095" s="15">
        <v>31.79</v>
      </c>
      <c r="M1095" s="15">
        <v>172907.80000000002</v>
      </c>
      <c r="N1095" s="15">
        <v>115842.76</v>
      </c>
      <c r="O1095" s="16">
        <v>57065.040000000023</v>
      </c>
    </row>
    <row r="1096" spans="2:15" ht="18.75" hidden="1" x14ac:dyDescent="0.25">
      <c r="B1096" s="4" t="s">
        <v>81</v>
      </c>
      <c r="C1096" s="5" t="s">
        <v>145</v>
      </c>
      <c r="D1096" s="5" t="s">
        <v>96</v>
      </c>
      <c r="E1096" s="5" t="s">
        <v>54</v>
      </c>
      <c r="F1096" s="5" t="s">
        <v>70</v>
      </c>
      <c r="G1096" s="14">
        <v>43720</v>
      </c>
      <c r="H1096" s="5">
        <v>100989091</v>
      </c>
      <c r="I1096" s="14">
        <v>43761</v>
      </c>
      <c r="J1096" s="5">
        <v>3771</v>
      </c>
      <c r="K1096" s="15">
        <v>154.06</v>
      </c>
      <c r="L1096" s="15">
        <v>90.93</v>
      </c>
      <c r="M1096" s="15">
        <v>580960.26</v>
      </c>
      <c r="N1096" s="15">
        <v>342897.03</v>
      </c>
      <c r="O1096" s="16">
        <v>238063.22999999998</v>
      </c>
    </row>
    <row r="1097" spans="2:15" ht="18.75" hidden="1" x14ac:dyDescent="0.25">
      <c r="B1097" s="4" t="s">
        <v>60</v>
      </c>
      <c r="C1097" s="5" t="s">
        <v>146</v>
      </c>
      <c r="D1097" s="5" t="s">
        <v>80</v>
      </c>
      <c r="E1097" s="5" t="s">
        <v>54</v>
      </c>
      <c r="F1097" s="5" t="s">
        <v>59</v>
      </c>
      <c r="G1097" s="14">
        <v>40899</v>
      </c>
      <c r="H1097" s="5">
        <v>100989520</v>
      </c>
      <c r="I1097" s="14">
        <v>40936</v>
      </c>
      <c r="J1097" s="5">
        <v>3898</v>
      </c>
      <c r="K1097" s="15">
        <v>668.27</v>
      </c>
      <c r="L1097" s="15">
        <v>502.54</v>
      </c>
      <c r="M1097" s="15">
        <v>2604916.46</v>
      </c>
      <c r="N1097" s="15">
        <v>1958900.9200000002</v>
      </c>
      <c r="O1097" s="16">
        <v>646015.5399999998</v>
      </c>
    </row>
    <row r="1098" spans="2:15" ht="18.75" hidden="1" x14ac:dyDescent="0.25">
      <c r="B1098" s="4" t="s">
        <v>74</v>
      </c>
      <c r="C1098" s="5" t="s">
        <v>147</v>
      </c>
      <c r="D1098" s="5" t="s">
        <v>88</v>
      </c>
      <c r="E1098" s="5" t="s">
        <v>54</v>
      </c>
      <c r="F1098" s="5" t="s">
        <v>55</v>
      </c>
      <c r="G1098" s="14">
        <v>40352</v>
      </c>
      <c r="H1098" s="5">
        <v>100990808</v>
      </c>
      <c r="I1098" s="14">
        <v>40376</v>
      </c>
      <c r="J1098" s="5">
        <v>4279</v>
      </c>
      <c r="K1098" s="15">
        <v>152.58000000000001</v>
      </c>
      <c r="L1098" s="15">
        <v>97.44</v>
      </c>
      <c r="M1098" s="15">
        <v>652889.82000000007</v>
      </c>
      <c r="N1098" s="15">
        <v>416945.76</v>
      </c>
      <c r="O1098" s="16">
        <v>235944.06000000006</v>
      </c>
    </row>
    <row r="1099" spans="2:15" ht="18.75" hidden="1" x14ac:dyDescent="0.25">
      <c r="B1099" s="4" t="s">
        <v>72</v>
      </c>
      <c r="C1099" s="5" t="s">
        <v>223</v>
      </c>
      <c r="D1099" s="5" t="s">
        <v>62</v>
      </c>
      <c r="E1099" s="5" t="s">
        <v>54</v>
      </c>
      <c r="F1099" s="5" t="s">
        <v>55</v>
      </c>
      <c r="G1099" s="14">
        <v>41489</v>
      </c>
      <c r="H1099" s="5">
        <v>100991237</v>
      </c>
      <c r="I1099" s="14">
        <v>41509</v>
      </c>
      <c r="J1099" s="5">
        <v>4406</v>
      </c>
      <c r="K1099" s="15">
        <v>437.2</v>
      </c>
      <c r="L1099" s="15">
        <v>263.33</v>
      </c>
      <c r="M1099" s="15">
        <v>1926303.2</v>
      </c>
      <c r="N1099" s="15">
        <v>1160231.98</v>
      </c>
      <c r="O1099" s="16">
        <v>766071.22</v>
      </c>
    </row>
    <row r="1100" spans="2:15" ht="18.75" hidden="1" x14ac:dyDescent="0.25">
      <c r="B1100" s="4" t="s">
        <v>51</v>
      </c>
      <c r="C1100" s="5" t="s">
        <v>94</v>
      </c>
      <c r="D1100" s="5" t="s">
        <v>78</v>
      </c>
      <c r="E1100" s="5" t="s">
        <v>54</v>
      </c>
      <c r="F1100" s="5" t="s">
        <v>70</v>
      </c>
      <c r="G1100" s="14">
        <v>43763</v>
      </c>
      <c r="H1100" s="5">
        <v>100992095</v>
      </c>
      <c r="I1100" s="14">
        <v>43774</v>
      </c>
      <c r="J1100" s="5">
        <v>4660</v>
      </c>
      <c r="K1100" s="15">
        <v>47.45</v>
      </c>
      <c r="L1100" s="15">
        <v>31.79</v>
      </c>
      <c r="M1100" s="15">
        <v>221117</v>
      </c>
      <c r="N1100" s="15">
        <v>148141.4</v>
      </c>
      <c r="O1100" s="16">
        <v>72975.600000000006</v>
      </c>
    </row>
    <row r="1101" spans="2:15" ht="18.75" hidden="1" x14ac:dyDescent="0.25">
      <c r="B1101" s="4" t="s">
        <v>81</v>
      </c>
      <c r="C1101" s="5" t="s">
        <v>179</v>
      </c>
      <c r="D1101" s="5" t="s">
        <v>65</v>
      </c>
      <c r="E1101" s="5" t="s">
        <v>54</v>
      </c>
      <c r="F1101" s="5" t="s">
        <v>63</v>
      </c>
      <c r="G1101" s="14">
        <v>40395</v>
      </c>
      <c r="H1101" s="5">
        <v>100993812</v>
      </c>
      <c r="I1101" s="14">
        <v>40439</v>
      </c>
      <c r="J1101" s="5">
        <v>5168</v>
      </c>
      <c r="K1101" s="15">
        <v>651.21</v>
      </c>
      <c r="L1101" s="15">
        <v>524.96</v>
      </c>
      <c r="M1101" s="15">
        <v>3365453.2800000003</v>
      </c>
      <c r="N1101" s="15">
        <v>2712993.2800000003</v>
      </c>
      <c r="O1101" s="16">
        <v>652460</v>
      </c>
    </row>
    <row r="1102" spans="2:15" ht="18.75" hidden="1" x14ac:dyDescent="0.25">
      <c r="B1102" s="4" t="s">
        <v>60</v>
      </c>
      <c r="C1102" s="5" t="s">
        <v>248</v>
      </c>
      <c r="D1102" s="5" t="s">
        <v>88</v>
      </c>
      <c r="E1102" s="5" t="s">
        <v>54</v>
      </c>
      <c r="F1102" s="5" t="s">
        <v>55</v>
      </c>
      <c r="G1102" s="14">
        <v>41532</v>
      </c>
      <c r="H1102" s="5">
        <v>100994241</v>
      </c>
      <c r="I1102" s="14">
        <v>41572</v>
      </c>
      <c r="J1102" s="5">
        <v>5295</v>
      </c>
      <c r="K1102" s="15">
        <v>152.58000000000001</v>
      </c>
      <c r="L1102" s="15">
        <v>97.44</v>
      </c>
      <c r="M1102" s="15">
        <v>807911.10000000009</v>
      </c>
      <c r="N1102" s="15">
        <v>515944.8</v>
      </c>
      <c r="O1102" s="16">
        <v>291966.3000000001</v>
      </c>
    </row>
    <row r="1103" spans="2:15" ht="18.75" hidden="1" x14ac:dyDescent="0.25">
      <c r="B1103" s="4" t="s">
        <v>81</v>
      </c>
      <c r="C1103" s="5" t="s">
        <v>180</v>
      </c>
      <c r="D1103" s="5" t="s">
        <v>93</v>
      </c>
      <c r="E1103" s="5" t="s">
        <v>54</v>
      </c>
      <c r="F1103" s="5" t="s">
        <v>70</v>
      </c>
      <c r="G1103" s="14">
        <v>43807</v>
      </c>
      <c r="H1103" s="5">
        <v>100995099</v>
      </c>
      <c r="I1103" s="14">
        <v>43838</v>
      </c>
      <c r="J1103" s="5">
        <v>5549</v>
      </c>
      <c r="K1103" s="15">
        <v>81.73</v>
      </c>
      <c r="L1103" s="15">
        <v>56.67</v>
      </c>
      <c r="M1103" s="15">
        <v>453519.77</v>
      </c>
      <c r="N1103" s="15">
        <v>314461.83</v>
      </c>
      <c r="O1103" s="16">
        <v>139057.94</v>
      </c>
    </row>
    <row r="1104" spans="2:15" ht="18.75" hidden="1" x14ac:dyDescent="0.25">
      <c r="B1104" s="4" t="s">
        <v>60</v>
      </c>
      <c r="C1104" s="5" t="s">
        <v>71</v>
      </c>
      <c r="D1104" s="5" t="s">
        <v>78</v>
      </c>
      <c r="E1104" s="5" t="s">
        <v>54</v>
      </c>
      <c r="F1104" s="5" t="s">
        <v>59</v>
      </c>
      <c r="G1104" s="14">
        <v>40985</v>
      </c>
      <c r="H1104" s="5">
        <v>100995528</v>
      </c>
      <c r="I1104" s="14">
        <v>41012</v>
      </c>
      <c r="J1104" s="5">
        <v>5676</v>
      </c>
      <c r="K1104" s="15">
        <v>47.45</v>
      </c>
      <c r="L1104" s="15">
        <v>31.79</v>
      </c>
      <c r="M1104" s="15">
        <v>269326.2</v>
      </c>
      <c r="N1104" s="15">
        <v>180440.04</v>
      </c>
      <c r="O1104" s="16">
        <v>88886.16</v>
      </c>
    </row>
    <row r="1105" spans="2:15" ht="18.75" hidden="1" x14ac:dyDescent="0.25">
      <c r="B1105" s="4" t="s">
        <v>81</v>
      </c>
      <c r="C1105" s="5" t="s">
        <v>150</v>
      </c>
      <c r="D1105" s="5" t="s">
        <v>80</v>
      </c>
      <c r="E1105" s="5" t="s">
        <v>54</v>
      </c>
      <c r="F1105" s="5" t="s">
        <v>63</v>
      </c>
      <c r="G1105" s="14">
        <v>43260</v>
      </c>
      <c r="H1105" s="5">
        <v>100996387</v>
      </c>
      <c r="I1105" s="14">
        <v>43278</v>
      </c>
      <c r="J1105" s="5">
        <v>5930</v>
      </c>
      <c r="K1105" s="15">
        <v>668.27</v>
      </c>
      <c r="L1105" s="15">
        <v>502.54</v>
      </c>
      <c r="M1105" s="15">
        <v>3962841.1</v>
      </c>
      <c r="N1105" s="15">
        <v>2980062.2</v>
      </c>
      <c r="O1105" s="16">
        <v>982778.89999999991</v>
      </c>
    </row>
    <row r="1106" spans="2:15" ht="18.75" hidden="1" x14ac:dyDescent="0.25">
      <c r="B1106" s="4" t="s">
        <v>72</v>
      </c>
      <c r="C1106" s="5" t="s">
        <v>77</v>
      </c>
      <c r="D1106" s="5" t="s">
        <v>76</v>
      </c>
      <c r="E1106" s="5" t="s">
        <v>54</v>
      </c>
      <c r="F1106" s="5" t="s">
        <v>55</v>
      </c>
      <c r="G1106" s="14">
        <v>41575</v>
      </c>
      <c r="H1106" s="5">
        <v>100997245</v>
      </c>
      <c r="I1106" s="14">
        <v>41585</v>
      </c>
      <c r="J1106" s="5">
        <v>6184</v>
      </c>
      <c r="K1106" s="15">
        <v>421.89</v>
      </c>
      <c r="L1106" s="15">
        <v>364.69</v>
      </c>
      <c r="M1106" s="15">
        <v>2608967.7599999998</v>
      </c>
      <c r="N1106" s="15">
        <v>2255242.96</v>
      </c>
      <c r="O1106" s="16">
        <v>353724.79999999981</v>
      </c>
    </row>
    <row r="1107" spans="2:15" ht="18.75" hidden="1" x14ac:dyDescent="0.25">
      <c r="B1107" s="4" t="s">
        <v>60</v>
      </c>
      <c r="C1107" s="5" t="s">
        <v>184</v>
      </c>
      <c r="D1107" s="5" t="s">
        <v>58</v>
      </c>
      <c r="E1107" s="5" t="s">
        <v>54</v>
      </c>
      <c r="F1107" s="5" t="s">
        <v>59</v>
      </c>
      <c r="G1107" s="14">
        <v>42165</v>
      </c>
      <c r="H1107" s="5">
        <v>100998961</v>
      </c>
      <c r="I1107" s="14">
        <v>42208</v>
      </c>
      <c r="J1107" s="5">
        <v>6692</v>
      </c>
      <c r="K1107" s="15">
        <v>255.28</v>
      </c>
      <c r="L1107" s="15">
        <v>159.41999999999999</v>
      </c>
      <c r="M1107" s="15">
        <v>1708333.76</v>
      </c>
      <c r="N1107" s="15">
        <v>1066838.6399999999</v>
      </c>
      <c r="O1107" s="16">
        <v>641495.12000000011</v>
      </c>
    </row>
    <row r="1108" spans="2:15" ht="18.75" hidden="1" x14ac:dyDescent="0.25">
      <c r="B1108" s="4" t="s">
        <v>51</v>
      </c>
      <c r="C1108" s="5" t="s">
        <v>153</v>
      </c>
      <c r="D1108" s="5" t="s">
        <v>96</v>
      </c>
      <c r="E1108" s="5" t="s">
        <v>54</v>
      </c>
      <c r="F1108" s="5" t="s">
        <v>63</v>
      </c>
      <c r="G1108" s="14">
        <v>43303</v>
      </c>
      <c r="H1108" s="5">
        <v>100999391</v>
      </c>
      <c r="I1108" s="14">
        <v>43342</v>
      </c>
      <c r="J1108" s="5">
        <v>6819</v>
      </c>
      <c r="K1108" s="15">
        <v>154.06</v>
      </c>
      <c r="L1108" s="15">
        <v>90.93</v>
      </c>
      <c r="M1108" s="15">
        <v>1050535.1400000001</v>
      </c>
      <c r="N1108" s="15">
        <v>620051.67000000004</v>
      </c>
      <c r="O1108" s="16">
        <v>430483.47000000009</v>
      </c>
    </row>
    <row r="1109" spans="2:15" ht="18.75" hidden="1" x14ac:dyDescent="0.25">
      <c r="B1109" s="4" t="s">
        <v>81</v>
      </c>
      <c r="C1109" s="5" t="s">
        <v>210</v>
      </c>
      <c r="D1109" s="5" t="s">
        <v>68</v>
      </c>
      <c r="E1109" s="5" t="s">
        <v>132</v>
      </c>
      <c r="F1109" s="5" t="s">
        <v>63</v>
      </c>
      <c r="G1109" s="14">
        <v>40481</v>
      </c>
      <c r="H1109" s="5">
        <v>100999820</v>
      </c>
      <c r="I1109" s="14">
        <v>40515</v>
      </c>
      <c r="J1109" s="5">
        <v>6946</v>
      </c>
      <c r="K1109" s="15">
        <v>109.28</v>
      </c>
      <c r="L1109" s="15">
        <v>35.840000000000003</v>
      </c>
      <c r="M1109" s="15">
        <v>759058.88</v>
      </c>
      <c r="N1109" s="15">
        <v>248944.64000000001</v>
      </c>
      <c r="O1109" s="16">
        <v>510114.24</v>
      </c>
    </row>
    <row r="1110" spans="2:15" ht="18.75" hidden="1" x14ac:dyDescent="0.25">
      <c r="B1110" s="4" t="s">
        <v>60</v>
      </c>
      <c r="C1110" s="5" t="s">
        <v>224</v>
      </c>
      <c r="D1110" s="5" t="s">
        <v>100</v>
      </c>
      <c r="E1110" s="5" t="s">
        <v>132</v>
      </c>
      <c r="F1110" s="5" t="s">
        <v>55</v>
      </c>
      <c r="G1110" s="14">
        <v>41618</v>
      </c>
      <c r="H1110" s="5">
        <v>101000249</v>
      </c>
      <c r="I1110" s="14">
        <v>41648</v>
      </c>
      <c r="J1110" s="5">
        <v>7073</v>
      </c>
      <c r="K1110" s="15">
        <v>205.7</v>
      </c>
      <c r="L1110" s="15">
        <v>117.11</v>
      </c>
      <c r="M1110" s="15">
        <v>1454916.0999999999</v>
      </c>
      <c r="N1110" s="15">
        <v>828319.03</v>
      </c>
      <c r="O1110" s="16">
        <v>626597.06999999983</v>
      </c>
    </row>
    <row r="1111" spans="2:15" ht="18.75" hidden="1" x14ac:dyDescent="0.25">
      <c r="B1111" s="4" t="s">
        <v>51</v>
      </c>
      <c r="C1111" s="5" t="s">
        <v>154</v>
      </c>
      <c r="D1111" s="5" t="s">
        <v>76</v>
      </c>
      <c r="E1111" s="5" t="s">
        <v>132</v>
      </c>
      <c r="F1111" s="5" t="s">
        <v>55</v>
      </c>
      <c r="G1111" s="14">
        <v>42756</v>
      </c>
      <c r="H1111" s="5">
        <v>101000678</v>
      </c>
      <c r="I1111" s="14">
        <v>42782</v>
      </c>
      <c r="J1111" s="5">
        <v>7200</v>
      </c>
      <c r="K1111" s="15">
        <v>421.89</v>
      </c>
      <c r="L1111" s="15">
        <v>364.69</v>
      </c>
      <c r="M1111" s="15">
        <v>3037608</v>
      </c>
      <c r="N1111" s="15">
        <v>2625768</v>
      </c>
      <c r="O1111" s="16">
        <v>411840</v>
      </c>
    </row>
    <row r="1112" spans="2:15" ht="18.75" hidden="1" x14ac:dyDescent="0.25">
      <c r="B1112" s="4" t="s">
        <v>81</v>
      </c>
      <c r="C1112" s="5" t="s">
        <v>211</v>
      </c>
      <c r="D1112" s="5" t="s">
        <v>88</v>
      </c>
      <c r="E1112" s="5" t="s">
        <v>132</v>
      </c>
      <c r="F1112" s="5" t="s">
        <v>70</v>
      </c>
      <c r="G1112" s="14">
        <v>43893</v>
      </c>
      <c r="H1112" s="5">
        <v>101001107</v>
      </c>
      <c r="I1112" s="14">
        <v>43914</v>
      </c>
      <c r="J1112" s="5">
        <v>7327</v>
      </c>
      <c r="K1112" s="15">
        <v>152.58000000000001</v>
      </c>
      <c r="L1112" s="15">
        <v>97.44</v>
      </c>
      <c r="M1112" s="15">
        <v>1117953.6600000001</v>
      </c>
      <c r="N1112" s="15">
        <v>713942.88</v>
      </c>
      <c r="O1112" s="16">
        <v>404010.78000000014</v>
      </c>
    </row>
    <row r="1113" spans="2:15" ht="18.75" hidden="1" x14ac:dyDescent="0.25">
      <c r="B1113" s="4" t="s">
        <v>72</v>
      </c>
      <c r="C1113" s="5" t="s">
        <v>225</v>
      </c>
      <c r="D1113" s="5" t="s">
        <v>93</v>
      </c>
      <c r="E1113" s="5" t="s">
        <v>132</v>
      </c>
      <c r="F1113" s="5" t="s">
        <v>59</v>
      </c>
      <c r="G1113" s="14">
        <v>42209</v>
      </c>
      <c r="H1113" s="5">
        <v>101001965</v>
      </c>
      <c r="I1113" s="14">
        <v>42222</v>
      </c>
      <c r="J1113" s="5">
        <v>7581</v>
      </c>
      <c r="K1113" s="15">
        <v>81.73</v>
      </c>
      <c r="L1113" s="15">
        <v>56.67</v>
      </c>
      <c r="M1113" s="15">
        <v>619595.13</v>
      </c>
      <c r="N1113" s="15">
        <v>429615.27</v>
      </c>
      <c r="O1113" s="16">
        <v>189979.86</v>
      </c>
    </row>
    <row r="1114" spans="2:15" ht="18.75" hidden="1" x14ac:dyDescent="0.25">
      <c r="B1114" s="4" t="s">
        <v>56</v>
      </c>
      <c r="C1114" s="5" t="s">
        <v>86</v>
      </c>
      <c r="D1114" s="5" t="s">
        <v>58</v>
      </c>
      <c r="E1114" s="5" t="s">
        <v>132</v>
      </c>
      <c r="F1114" s="5" t="s">
        <v>59</v>
      </c>
      <c r="G1114" s="14">
        <v>43346</v>
      </c>
      <c r="H1114" s="5">
        <v>101002395</v>
      </c>
      <c r="I1114" s="14">
        <v>43354</v>
      </c>
      <c r="J1114" s="5">
        <v>7708</v>
      </c>
      <c r="K1114" s="15">
        <v>255.28</v>
      </c>
      <c r="L1114" s="15">
        <v>159.41999999999999</v>
      </c>
      <c r="M1114" s="15">
        <v>1967698.24</v>
      </c>
      <c r="N1114" s="15">
        <v>1228809.3599999999</v>
      </c>
      <c r="O1114" s="16">
        <v>738888.88000000012</v>
      </c>
    </row>
    <row r="1115" spans="2:15" ht="18.75" hidden="1" x14ac:dyDescent="0.25">
      <c r="B1115" s="4" t="s">
        <v>51</v>
      </c>
      <c r="C1115" s="5" t="s">
        <v>236</v>
      </c>
      <c r="D1115" s="5" t="s">
        <v>96</v>
      </c>
      <c r="E1115" s="5" t="s">
        <v>132</v>
      </c>
      <c r="F1115" s="5" t="s">
        <v>63</v>
      </c>
      <c r="G1115" s="14">
        <v>40524</v>
      </c>
      <c r="H1115" s="5">
        <v>101002824</v>
      </c>
      <c r="I1115" s="14">
        <v>40528</v>
      </c>
      <c r="J1115" s="5">
        <v>7835</v>
      </c>
      <c r="K1115" s="15">
        <v>154.06</v>
      </c>
      <c r="L1115" s="15">
        <v>90.93</v>
      </c>
      <c r="M1115" s="15">
        <v>1207060.1000000001</v>
      </c>
      <c r="N1115" s="15">
        <v>712436.55</v>
      </c>
      <c r="O1115" s="16">
        <v>494623.55000000005</v>
      </c>
    </row>
    <row r="1116" spans="2:15" ht="18.75" hidden="1" x14ac:dyDescent="0.25">
      <c r="B1116" s="4" t="s">
        <v>81</v>
      </c>
      <c r="C1116" s="5" t="s">
        <v>187</v>
      </c>
      <c r="D1116" s="5" t="s">
        <v>88</v>
      </c>
      <c r="E1116" s="5" t="s">
        <v>132</v>
      </c>
      <c r="F1116" s="5" t="s">
        <v>70</v>
      </c>
      <c r="G1116" s="14">
        <v>41114</v>
      </c>
      <c r="H1116" s="5">
        <v>101004540</v>
      </c>
      <c r="I1116" s="14">
        <v>41152</v>
      </c>
      <c r="J1116" s="5">
        <v>8343</v>
      </c>
      <c r="K1116" s="15">
        <v>152.58000000000001</v>
      </c>
      <c r="L1116" s="15">
        <v>97.44</v>
      </c>
      <c r="M1116" s="15">
        <v>1272974.9400000002</v>
      </c>
      <c r="N1116" s="15">
        <v>812941.91999999993</v>
      </c>
      <c r="O1116" s="16">
        <v>460033.02000000025</v>
      </c>
    </row>
    <row r="1117" spans="2:15" ht="18.75" hidden="1" x14ac:dyDescent="0.25">
      <c r="B1117" s="4" t="s">
        <v>74</v>
      </c>
      <c r="C1117" s="5" t="s">
        <v>188</v>
      </c>
      <c r="D1117" s="5" t="s">
        <v>96</v>
      </c>
      <c r="E1117" s="5" t="s">
        <v>132</v>
      </c>
      <c r="F1117" s="5" t="s">
        <v>63</v>
      </c>
      <c r="G1117" s="14">
        <v>41705</v>
      </c>
      <c r="H1117" s="5">
        <v>101006257</v>
      </c>
      <c r="I1117" s="14">
        <v>41725</v>
      </c>
      <c r="J1117" s="5">
        <v>8851</v>
      </c>
      <c r="K1117" s="15">
        <v>154.06</v>
      </c>
      <c r="L1117" s="15">
        <v>90.93</v>
      </c>
      <c r="M1117" s="15">
        <v>1363585.06</v>
      </c>
      <c r="N1117" s="15">
        <v>804821.43</v>
      </c>
      <c r="O1117" s="16">
        <v>558763.63</v>
      </c>
    </row>
    <row r="1118" spans="2:15" ht="18.75" x14ac:dyDescent="0.25">
      <c r="B1118" s="4" t="s">
        <v>81</v>
      </c>
      <c r="C1118" s="5" t="s">
        <v>158</v>
      </c>
      <c r="D1118" s="5" t="s">
        <v>100</v>
      </c>
      <c r="E1118" s="5" t="s">
        <v>132</v>
      </c>
      <c r="F1118" s="5" t="s">
        <v>55</v>
      </c>
      <c r="G1118" s="14">
        <v>43979</v>
      </c>
      <c r="H1118" s="5">
        <v>101007115</v>
      </c>
      <c r="I1118" s="14">
        <v>43990</v>
      </c>
      <c r="J1118" s="5">
        <v>9105</v>
      </c>
      <c r="K1118" s="15">
        <v>205.7</v>
      </c>
      <c r="L1118" s="15">
        <v>117.11</v>
      </c>
      <c r="M1118" s="15">
        <v>1872898.5</v>
      </c>
      <c r="N1118" s="15">
        <v>1066286.55</v>
      </c>
      <c r="O1118" s="16">
        <v>806611.95</v>
      </c>
    </row>
    <row r="1119" spans="2:15" ht="18.75" hidden="1" x14ac:dyDescent="0.25">
      <c r="B1119" s="4" t="s">
        <v>51</v>
      </c>
      <c r="C1119" s="5" t="s">
        <v>215</v>
      </c>
      <c r="D1119" s="5" t="s">
        <v>76</v>
      </c>
      <c r="E1119" s="5" t="s">
        <v>132</v>
      </c>
      <c r="F1119" s="5" t="s">
        <v>70</v>
      </c>
      <c r="G1119" s="14">
        <v>41158</v>
      </c>
      <c r="H1119" s="5">
        <v>101007544</v>
      </c>
      <c r="I1119" s="14">
        <v>41165</v>
      </c>
      <c r="J1119" s="5">
        <v>9232</v>
      </c>
      <c r="K1119" s="15">
        <v>421.89</v>
      </c>
      <c r="L1119" s="15">
        <v>364.69</v>
      </c>
      <c r="M1119" s="15">
        <v>3894888.48</v>
      </c>
      <c r="N1119" s="15">
        <v>3366818.08</v>
      </c>
      <c r="O1119" s="16">
        <v>528070.39999999991</v>
      </c>
    </row>
    <row r="1120" spans="2:15" ht="18.75" hidden="1" x14ac:dyDescent="0.25">
      <c r="B1120" s="4" t="s">
        <v>56</v>
      </c>
      <c r="C1120" s="5" t="s">
        <v>159</v>
      </c>
      <c r="D1120" s="5" t="s">
        <v>53</v>
      </c>
      <c r="E1120" s="5" t="s">
        <v>132</v>
      </c>
      <c r="F1120" s="5" t="s">
        <v>59</v>
      </c>
      <c r="G1120" s="14">
        <v>43432</v>
      </c>
      <c r="H1120" s="5">
        <v>101008403</v>
      </c>
      <c r="I1120" s="14">
        <v>43481</v>
      </c>
      <c r="J1120" s="5">
        <v>9486</v>
      </c>
      <c r="K1120" s="15">
        <v>9.33</v>
      </c>
      <c r="L1120" s="15">
        <v>6.92</v>
      </c>
      <c r="M1120" s="15">
        <v>88504.38</v>
      </c>
      <c r="N1120" s="15">
        <v>65643.12</v>
      </c>
      <c r="O1120" s="16">
        <v>22861.260000000009</v>
      </c>
    </row>
    <row r="1121" spans="2:15" ht="18.75" hidden="1" x14ac:dyDescent="0.25">
      <c r="B1121" s="4" t="s">
        <v>51</v>
      </c>
      <c r="C1121" s="5" t="s">
        <v>160</v>
      </c>
      <c r="D1121" s="5" t="s">
        <v>93</v>
      </c>
      <c r="E1121" s="5" t="s">
        <v>132</v>
      </c>
      <c r="F1121" s="5" t="s">
        <v>59</v>
      </c>
      <c r="G1121" s="14">
        <v>40611</v>
      </c>
      <c r="H1121" s="5">
        <v>101008832</v>
      </c>
      <c r="I1121" s="14">
        <v>40656</v>
      </c>
      <c r="J1121" s="5">
        <v>9613</v>
      </c>
      <c r="K1121" s="15">
        <v>81.73</v>
      </c>
      <c r="L1121" s="15">
        <v>56.67</v>
      </c>
      <c r="M1121" s="15">
        <v>785670.49</v>
      </c>
      <c r="N1121" s="15">
        <v>544768.71</v>
      </c>
      <c r="O1121" s="16">
        <v>240901.78000000003</v>
      </c>
    </row>
    <row r="1122" spans="2:15" ht="18.75" hidden="1" x14ac:dyDescent="0.25">
      <c r="B1122" s="4" t="s">
        <v>81</v>
      </c>
      <c r="C1122" s="5" t="s">
        <v>190</v>
      </c>
      <c r="D1122" s="5" t="s">
        <v>58</v>
      </c>
      <c r="E1122" s="5" t="s">
        <v>132</v>
      </c>
      <c r="F1122" s="5" t="s">
        <v>63</v>
      </c>
      <c r="G1122" s="14">
        <v>41748</v>
      </c>
      <c r="H1122" s="5">
        <v>101009261</v>
      </c>
      <c r="I1122" s="14">
        <v>41789</v>
      </c>
      <c r="J1122" s="5">
        <v>9740</v>
      </c>
      <c r="K1122" s="15">
        <v>255.28</v>
      </c>
      <c r="L1122" s="15">
        <v>159.41999999999999</v>
      </c>
      <c r="M1122" s="15">
        <v>2486427.2000000002</v>
      </c>
      <c r="N1122" s="15">
        <v>1552750.7999999998</v>
      </c>
      <c r="O1122" s="16">
        <v>933676.40000000037</v>
      </c>
    </row>
    <row r="1123" spans="2:15" ht="18.75" hidden="1" x14ac:dyDescent="0.25">
      <c r="B1123" s="4" t="s">
        <v>60</v>
      </c>
      <c r="C1123" s="5" t="s">
        <v>243</v>
      </c>
      <c r="D1123" s="5" t="s">
        <v>96</v>
      </c>
      <c r="E1123" s="5" t="s">
        <v>132</v>
      </c>
      <c r="F1123" s="5" t="s">
        <v>55</v>
      </c>
      <c r="G1123" s="14">
        <v>42885</v>
      </c>
      <c r="H1123" s="5">
        <v>101009690</v>
      </c>
      <c r="I1123" s="14">
        <v>42921</v>
      </c>
      <c r="J1123" s="5">
        <v>9867</v>
      </c>
      <c r="K1123" s="15">
        <v>154.06</v>
      </c>
      <c r="L1123" s="15">
        <v>90.93</v>
      </c>
      <c r="M1123" s="15">
        <v>1520110.02</v>
      </c>
      <c r="N1123" s="15">
        <v>897206.31</v>
      </c>
      <c r="O1123" s="16">
        <v>622903.71</v>
      </c>
    </row>
    <row r="1124" spans="2:15" ht="18.75" hidden="1" x14ac:dyDescent="0.25">
      <c r="B1124" s="4" t="s">
        <v>81</v>
      </c>
      <c r="C1124" s="5" t="s">
        <v>216</v>
      </c>
      <c r="D1124" s="5" t="s">
        <v>100</v>
      </c>
      <c r="E1124" s="5" t="s">
        <v>132</v>
      </c>
      <c r="F1124" s="5" t="s">
        <v>70</v>
      </c>
      <c r="G1124" s="14">
        <v>41201</v>
      </c>
      <c r="H1124" s="5">
        <v>101010549</v>
      </c>
      <c r="I1124" s="14">
        <v>41229</v>
      </c>
      <c r="J1124" s="5">
        <v>121</v>
      </c>
      <c r="K1124" s="15">
        <v>205.7</v>
      </c>
      <c r="L1124" s="15">
        <v>117.11</v>
      </c>
      <c r="M1124" s="15">
        <v>24889.699999999997</v>
      </c>
      <c r="N1124" s="15">
        <v>14170.31</v>
      </c>
      <c r="O1124" s="16">
        <v>10719.389999999998</v>
      </c>
    </row>
    <row r="1125" spans="2:15" ht="18.75" hidden="1" x14ac:dyDescent="0.25">
      <c r="B1125" s="4" t="s">
        <v>60</v>
      </c>
      <c r="C1125" s="5" t="s">
        <v>217</v>
      </c>
      <c r="D1125" s="5" t="s">
        <v>76</v>
      </c>
      <c r="E1125" s="5" t="s">
        <v>132</v>
      </c>
      <c r="F1125" s="5" t="s">
        <v>70</v>
      </c>
      <c r="G1125" s="14">
        <v>42338</v>
      </c>
      <c r="H1125" s="5">
        <v>101010978</v>
      </c>
      <c r="I1125" s="14">
        <v>42361</v>
      </c>
      <c r="J1125" s="5">
        <v>248</v>
      </c>
      <c r="K1125" s="15">
        <v>421.89</v>
      </c>
      <c r="L1125" s="15">
        <v>364.69</v>
      </c>
      <c r="M1125" s="15">
        <v>104628.72</v>
      </c>
      <c r="N1125" s="15">
        <v>90443.12</v>
      </c>
      <c r="O1125" s="16">
        <v>14185.600000000006</v>
      </c>
    </row>
    <row r="1126" spans="2:15" ht="18.75" hidden="1" x14ac:dyDescent="0.25">
      <c r="B1126" s="4" t="s">
        <v>51</v>
      </c>
      <c r="C1126" s="5" t="s">
        <v>98</v>
      </c>
      <c r="D1126" s="5" t="s">
        <v>88</v>
      </c>
      <c r="E1126" s="5" t="s">
        <v>132</v>
      </c>
      <c r="F1126" s="5" t="s">
        <v>59</v>
      </c>
      <c r="G1126" s="14">
        <v>43475</v>
      </c>
      <c r="H1126" s="5">
        <v>101011407</v>
      </c>
      <c r="I1126" s="14">
        <v>43494</v>
      </c>
      <c r="J1126" s="5">
        <v>375</v>
      </c>
      <c r="K1126" s="15">
        <v>152.58000000000001</v>
      </c>
      <c r="L1126" s="15">
        <v>97.44</v>
      </c>
      <c r="M1126" s="15">
        <v>57217.500000000007</v>
      </c>
      <c r="N1126" s="15">
        <v>36540</v>
      </c>
      <c r="O1126" s="16">
        <v>20677.500000000007</v>
      </c>
    </row>
    <row r="1127" spans="2:15" ht="18.75" hidden="1" x14ac:dyDescent="0.25">
      <c r="B1127" s="4" t="s">
        <v>74</v>
      </c>
      <c r="C1127" s="5" t="s">
        <v>162</v>
      </c>
      <c r="D1127" s="5" t="s">
        <v>93</v>
      </c>
      <c r="E1127" s="5" t="s">
        <v>132</v>
      </c>
      <c r="F1127" s="5" t="s">
        <v>63</v>
      </c>
      <c r="G1127" s="14">
        <v>41791</v>
      </c>
      <c r="H1127" s="5">
        <v>101012265</v>
      </c>
      <c r="I1127" s="14">
        <v>41801</v>
      </c>
      <c r="J1127" s="5">
        <v>629</v>
      </c>
      <c r="K1127" s="15">
        <v>81.73</v>
      </c>
      <c r="L1127" s="15">
        <v>56.67</v>
      </c>
      <c r="M1127" s="15">
        <v>51408.170000000006</v>
      </c>
      <c r="N1127" s="15">
        <v>35645.43</v>
      </c>
      <c r="O1127" s="16">
        <v>15762.740000000005</v>
      </c>
    </row>
    <row r="1128" spans="2:15" ht="18.75" hidden="1" x14ac:dyDescent="0.25">
      <c r="B1128" s="4" t="s">
        <v>56</v>
      </c>
      <c r="C1128" s="5" t="s">
        <v>255</v>
      </c>
      <c r="D1128" s="5" t="s">
        <v>96</v>
      </c>
      <c r="E1128" s="5" t="s">
        <v>132</v>
      </c>
      <c r="F1128" s="5" t="s">
        <v>55</v>
      </c>
      <c r="G1128" s="14">
        <v>44066</v>
      </c>
      <c r="H1128" s="5">
        <v>101013123</v>
      </c>
      <c r="I1128" s="14">
        <v>44067</v>
      </c>
      <c r="J1128" s="5">
        <v>883</v>
      </c>
      <c r="K1128" s="15">
        <v>154.06</v>
      </c>
      <c r="L1128" s="15">
        <v>90.93</v>
      </c>
      <c r="M1128" s="15">
        <v>136034.98000000001</v>
      </c>
      <c r="N1128" s="15">
        <v>80291.19</v>
      </c>
      <c r="O1128" s="16">
        <v>55743.790000000008</v>
      </c>
    </row>
    <row r="1129" spans="2:15" ht="18.75" hidden="1" x14ac:dyDescent="0.25">
      <c r="B1129" s="4" t="s">
        <v>51</v>
      </c>
      <c r="C1129" s="5" t="s">
        <v>251</v>
      </c>
      <c r="D1129" s="5" t="s">
        <v>68</v>
      </c>
      <c r="E1129" s="5" t="s">
        <v>132</v>
      </c>
      <c r="F1129" s="5" t="s">
        <v>55</v>
      </c>
      <c r="G1129" s="14">
        <v>41244</v>
      </c>
      <c r="H1129" s="5">
        <v>101013553</v>
      </c>
      <c r="I1129" s="14">
        <v>41292</v>
      </c>
      <c r="J1129" s="5">
        <v>1010</v>
      </c>
      <c r="K1129" s="15">
        <v>109.28</v>
      </c>
      <c r="L1129" s="15">
        <v>35.840000000000003</v>
      </c>
      <c r="M1129" s="15">
        <v>110372.8</v>
      </c>
      <c r="N1129" s="15">
        <v>36198.400000000001</v>
      </c>
      <c r="O1129" s="16">
        <v>74174.399999999994</v>
      </c>
    </row>
    <row r="1130" spans="2:15" ht="18.75" hidden="1" x14ac:dyDescent="0.25">
      <c r="B1130" s="4" t="s">
        <v>81</v>
      </c>
      <c r="C1130" s="5" t="s">
        <v>163</v>
      </c>
      <c r="D1130" s="5" t="s">
        <v>100</v>
      </c>
      <c r="E1130" s="5" t="s">
        <v>132</v>
      </c>
      <c r="F1130" s="5" t="s">
        <v>70</v>
      </c>
      <c r="G1130" s="14">
        <v>42381</v>
      </c>
      <c r="H1130" s="5">
        <v>101013982</v>
      </c>
      <c r="I1130" s="14">
        <v>42425</v>
      </c>
      <c r="J1130" s="5">
        <v>1137</v>
      </c>
      <c r="K1130" s="15">
        <v>205.7</v>
      </c>
      <c r="L1130" s="15">
        <v>117.11</v>
      </c>
      <c r="M1130" s="15">
        <v>233880.9</v>
      </c>
      <c r="N1130" s="15">
        <v>133154.07</v>
      </c>
      <c r="O1130" s="16">
        <v>100726.82999999999</v>
      </c>
    </row>
    <row r="1131" spans="2:15" ht="18.75" hidden="1" x14ac:dyDescent="0.25">
      <c r="B1131" s="4" t="s">
        <v>60</v>
      </c>
      <c r="C1131" s="5" t="s">
        <v>164</v>
      </c>
      <c r="D1131" s="5" t="s">
        <v>76</v>
      </c>
      <c r="E1131" s="5" t="s">
        <v>132</v>
      </c>
      <c r="F1131" s="5" t="s">
        <v>59</v>
      </c>
      <c r="G1131" s="14">
        <v>43519</v>
      </c>
      <c r="H1131" s="5">
        <v>101014411</v>
      </c>
      <c r="I1131" s="14">
        <v>43558</v>
      </c>
      <c r="J1131" s="5">
        <v>1264</v>
      </c>
      <c r="K1131" s="15">
        <v>421.89</v>
      </c>
      <c r="L1131" s="15">
        <v>364.69</v>
      </c>
      <c r="M1131" s="15">
        <v>533268.96</v>
      </c>
      <c r="N1131" s="15">
        <v>460968.16</v>
      </c>
      <c r="O1131" s="16">
        <v>72300.799999999988</v>
      </c>
    </row>
    <row r="1132" spans="2:15" ht="18.75" hidden="1" x14ac:dyDescent="0.25">
      <c r="B1132" s="4" t="s">
        <v>51</v>
      </c>
      <c r="C1132" s="5" t="s">
        <v>165</v>
      </c>
      <c r="D1132" s="5" t="s">
        <v>88</v>
      </c>
      <c r="E1132" s="5" t="s">
        <v>132</v>
      </c>
      <c r="F1132" s="5" t="s">
        <v>59</v>
      </c>
      <c r="G1132" s="14">
        <v>40697</v>
      </c>
      <c r="H1132" s="5">
        <v>101014840</v>
      </c>
      <c r="I1132" s="14">
        <v>40732</v>
      </c>
      <c r="J1132" s="5">
        <v>1391</v>
      </c>
      <c r="K1132" s="15">
        <v>152.58000000000001</v>
      </c>
      <c r="L1132" s="15">
        <v>97.44</v>
      </c>
      <c r="M1132" s="15">
        <v>212238.78000000003</v>
      </c>
      <c r="N1132" s="15">
        <v>135539.04</v>
      </c>
      <c r="O1132" s="16">
        <v>76699.74000000002</v>
      </c>
    </row>
    <row r="1133" spans="2:15" ht="18.75" x14ac:dyDescent="0.25">
      <c r="B1133" s="4" t="s">
        <v>51</v>
      </c>
      <c r="C1133" s="5" t="s">
        <v>219</v>
      </c>
      <c r="D1133" s="5" t="s">
        <v>58</v>
      </c>
      <c r="E1133" s="5" t="s">
        <v>132</v>
      </c>
      <c r="F1133" s="5" t="s">
        <v>55</v>
      </c>
      <c r="G1133" s="14">
        <v>44109</v>
      </c>
      <c r="H1133" s="5">
        <v>101016128</v>
      </c>
      <c r="I1133" s="14">
        <v>44131</v>
      </c>
      <c r="J1133" s="5">
        <v>1772</v>
      </c>
      <c r="K1133" s="15">
        <v>255.28</v>
      </c>
      <c r="L1133" s="15">
        <v>159.41999999999999</v>
      </c>
      <c r="M1133" s="15">
        <v>452356.16</v>
      </c>
      <c r="N1133" s="15">
        <v>282492.24</v>
      </c>
      <c r="O1133" s="16">
        <v>169863.91999999998</v>
      </c>
    </row>
    <row r="1134" spans="2:15" ht="18.75" hidden="1" x14ac:dyDescent="0.25">
      <c r="B1134" s="4" t="s">
        <v>74</v>
      </c>
      <c r="C1134" s="5" t="s">
        <v>104</v>
      </c>
      <c r="D1134" s="5" t="s">
        <v>68</v>
      </c>
      <c r="E1134" s="5" t="s">
        <v>132</v>
      </c>
      <c r="F1134" s="5" t="s">
        <v>70</v>
      </c>
      <c r="G1134" s="14">
        <v>42424</v>
      </c>
      <c r="H1134" s="5">
        <v>101016986</v>
      </c>
      <c r="I1134" s="14">
        <v>42437</v>
      </c>
      <c r="J1134" s="5">
        <v>2026</v>
      </c>
      <c r="K1134" s="15">
        <v>109.28</v>
      </c>
      <c r="L1134" s="15">
        <v>35.840000000000003</v>
      </c>
      <c r="M1134" s="15">
        <v>221401.28</v>
      </c>
      <c r="N1134" s="15">
        <v>72611.840000000011</v>
      </c>
      <c r="O1134" s="16">
        <v>148789.44</v>
      </c>
    </row>
    <row r="1135" spans="2:15" ht="18.75" hidden="1" x14ac:dyDescent="0.25">
      <c r="B1135" s="4" t="s">
        <v>51</v>
      </c>
      <c r="C1135" s="5" t="s">
        <v>196</v>
      </c>
      <c r="D1135" s="5" t="s">
        <v>78</v>
      </c>
      <c r="E1135" s="5" t="s">
        <v>132</v>
      </c>
      <c r="F1135" s="5" t="s">
        <v>59</v>
      </c>
      <c r="G1135" s="14">
        <v>41877</v>
      </c>
      <c r="H1135" s="5">
        <v>101018273</v>
      </c>
      <c r="I1135" s="14">
        <v>41877</v>
      </c>
      <c r="J1135" s="5">
        <v>2407</v>
      </c>
      <c r="K1135" s="15">
        <v>47.45</v>
      </c>
      <c r="L1135" s="15">
        <v>31.79</v>
      </c>
      <c r="M1135" s="15">
        <v>114212.15000000001</v>
      </c>
      <c r="N1135" s="15">
        <v>76518.53</v>
      </c>
      <c r="O1135" s="16">
        <v>37693.62000000001</v>
      </c>
    </row>
    <row r="1136" spans="2:15" ht="18.75" hidden="1" x14ac:dyDescent="0.25">
      <c r="B1136" s="4" t="s">
        <v>81</v>
      </c>
      <c r="C1136" s="5" t="s">
        <v>169</v>
      </c>
      <c r="D1136" s="5" t="s">
        <v>65</v>
      </c>
      <c r="E1136" s="5" t="s">
        <v>132</v>
      </c>
      <c r="F1136" s="5" t="s">
        <v>70</v>
      </c>
      <c r="G1136" s="14">
        <v>42468</v>
      </c>
      <c r="H1136" s="5">
        <v>101019990</v>
      </c>
      <c r="I1136" s="14">
        <v>42502</v>
      </c>
      <c r="J1136" s="5">
        <v>2915</v>
      </c>
      <c r="K1136" s="15">
        <v>651.21</v>
      </c>
      <c r="L1136" s="15">
        <v>524.96</v>
      </c>
      <c r="M1136" s="15">
        <v>1898277.1500000001</v>
      </c>
      <c r="N1136" s="15">
        <v>1530258.4000000001</v>
      </c>
      <c r="O1136" s="16">
        <v>368018.75</v>
      </c>
    </row>
    <row r="1137" spans="2:15" ht="18.75" hidden="1" x14ac:dyDescent="0.25">
      <c r="B1137" s="4" t="s">
        <v>51</v>
      </c>
      <c r="C1137" s="5" t="s">
        <v>170</v>
      </c>
      <c r="D1137" s="5" t="s">
        <v>62</v>
      </c>
      <c r="E1137" s="5" t="s">
        <v>132</v>
      </c>
      <c r="F1137" s="5" t="s">
        <v>59</v>
      </c>
      <c r="G1137" s="14">
        <v>40783</v>
      </c>
      <c r="H1137" s="5">
        <v>101020848</v>
      </c>
      <c r="I1137" s="14">
        <v>40808</v>
      </c>
      <c r="J1137" s="5">
        <v>3169</v>
      </c>
      <c r="K1137" s="15">
        <v>437.2</v>
      </c>
      <c r="L1137" s="15">
        <v>263.33</v>
      </c>
      <c r="M1137" s="15">
        <v>1385486.8</v>
      </c>
      <c r="N1137" s="15">
        <v>834492.7699999999</v>
      </c>
      <c r="O1137" s="16">
        <v>550994.03000000014</v>
      </c>
    </row>
    <row r="1138" spans="2:15" ht="18.75" hidden="1" x14ac:dyDescent="0.25">
      <c r="B1138" s="4" t="s">
        <v>81</v>
      </c>
      <c r="C1138" s="5" t="s">
        <v>171</v>
      </c>
      <c r="D1138" s="5" t="s">
        <v>76</v>
      </c>
      <c r="E1138" s="5" t="s">
        <v>132</v>
      </c>
      <c r="F1138" s="5" t="s">
        <v>59</v>
      </c>
      <c r="G1138" s="14">
        <v>41921</v>
      </c>
      <c r="H1138" s="5">
        <v>101021277</v>
      </c>
      <c r="I1138" s="14">
        <v>41942</v>
      </c>
      <c r="J1138" s="5">
        <v>3296</v>
      </c>
      <c r="K1138" s="15">
        <v>421.89</v>
      </c>
      <c r="L1138" s="15">
        <v>364.69</v>
      </c>
      <c r="M1138" s="15">
        <v>1390549.44</v>
      </c>
      <c r="N1138" s="15">
        <v>1202018.24</v>
      </c>
      <c r="O1138" s="16">
        <v>188531.19999999995</v>
      </c>
    </row>
    <row r="1139" spans="2:15" ht="18.75" hidden="1" x14ac:dyDescent="0.25">
      <c r="B1139" s="4" t="s">
        <v>72</v>
      </c>
      <c r="C1139" s="5" t="s">
        <v>109</v>
      </c>
      <c r="D1139" s="5" t="s">
        <v>53</v>
      </c>
      <c r="E1139" s="5" t="s">
        <v>132</v>
      </c>
      <c r="F1139" s="5" t="s">
        <v>63</v>
      </c>
      <c r="G1139" s="14">
        <v>40236</v>
      </c>
      <c r="H1139" s="5">
        <v>101022136</v>
      </c>
      <c r="I1139" s="14">
        <v>40248</v>
      </c>
      <c r="J1139" s="5">
        <v>3550</v>
      </c>
      <c r="K1139" s="15">
        <v>9.33</v>
      </c>
      <c r="L1139" s="15">
        <v>6.92</v>
      </c>
      <c r="M1139" s="15">
        <v>33121.5</v>
      </c>
      <c r="N1139" s="15">
        <v>24566</v>
      </c>
      <c r="O1139" s="16">
        <v>8555.5</v>
      </c>
    </row>
    <row r="1140" spans="2:15" ht="18.75" hidden="1" x14ac:dyDescent="0.25">
      <c r="B1140" s="4" t="s">
        <v>74</v>
      </c>
      <c r="C1140" s="5" t="s">
        <v>220</v>
      </c>
      <c r="D1140" s="5" t="s">
        <v>58</v>
      </c>
      <c r="E1140" s="5" t="s">
        <v>132</v>
      </c>
      <c r="F1140" s="5" t="s">
        <v>55</v>
      </c>
      <c r="G1140" s="14">
        <v>42511</v>
      </c>
      <c r="H1140" s="5">
        <v>101022994</v>
      </c>
      <c r="I1140" s="14">
        <v>42514</v>
      </c>
      <c r="J1140" s="5">
        <v>3804</v>
      </c>
      <c r="K1140" s="15">
        <v>255.28</v>
      </c>
      <c r="L1140" s="15">
        <v>159.41999999999999</v>
      </c>
      <c r="M1140" s="15">
        <v>971085.12</v>
      </c>
      <c r="N1140" s="15">
        <v>606433.67999999993</v>
      </c>
      <c r="O1140" s="16">
        <v>364651.44000000006</v>
      </c>
    </row>
    <row r="1141" spans="2:15" ht="18.75" hidden="1" x14ac:dyDescent="0.25">
      <c r="B1141" s="4" t="s">
        <v>72</v>
      </c>
      <c r="C1141" s="5" t="s">
        <v>173</v>
      </c>
      <c r="D1141" s="5" t="s">
        <v>65</v>
      </c>
      <c r="E1141" s="5" t="s">
        <v>132</v>
      </c>
      <c r="F1141" s="5" t="s">
        <v>70</v>
      </c>
      <c r="G1141" s="14">
        <v>43648</v>
      </c>
      <c r="H1141" s="5">
        <v>101023423</v>
      </c>
      <c r="I1141" s="14">
        <v>43698</v>
      </c>
      <c r="J1141" s="5">
        <v>3931</v>
      </c>
      <c r="K1141" s="15">
        <v>651.21</v>
      </c>
      <c r="L1141" s="15">
        <v>524.96</v>
      </c>
      <c r="M1141" s="15">
        <v>2559906.5100000002</v>
      </c>
      <c r="N1141" s="15">
        <v>2063617.7600000002</v>
      </c>
      <c r="O1141" s="16">
        <v>496288.75</v>
      </c>
    </row>
    <row r="1142" spans="2:15" ht="18.75" hidden="1" x14ac:dyDescent="0.25">
      <c r="B1142" s="4" t="s">
        <v>56</v>
      </c>
      <c r="C1142" s="5" t="s">
        <v>112</v>
      </c>
      <c r="D1142" s="5" t="s">
        <v>68</v>
      </c>
      <c r="E1142" s="5" t="s">
        <v>132</v>
      </c>
      <c r="F1142" s="5" t="s">
        <v>59</v>
      </c>
      <c r="G1142" s="14">
        <v>40826</v>
      </c>
      <c r="H1142" s="5">
        <v>101023852</v>
      </c>
      <c r="I1142" s="14">
        <v>40871</v>
      </c>
      <c r="J1142" s="5">
        <v>4058</v>
      </c>
      <c r="K1142" s="15">
        <v>109.28</v>
      </c>
      <c r="L1142" s="15">
        <v>35.840000000000003</v>
      </c>
      <c r="M1142" s="15">
        <v>443458.24</v>
      </c>
      <c r="N1142" s="15">
        <v>145438.72</v>
      </c>
      <c r="O1142" s="16">
        <v>298019.52</v>
      </c>
    </row>
    <row r="1143" spans="2:15" ht="18.75" hidden="1" x14ac:dyDescent="0.25">
      <c r="B1143" s="4" t="s">
        <v>81</v>
      </c>
      <c r="C1143" s="5" t="s">
        <v>221</v>
      </c>
      <c r="D1143" s="5" t="s">
        <v>76</v>
      </c>
      <c r="E1143" s="5" t="s">
        <v>132</v>
      </c>
      <c r="F1143" s="5" t="s">
        <v>63</v>
      </c>
      <c r="G1143" s="14">
        <v>43101</v>
      </c>
      <c r="H1143" s="5">
        <v>101024711</v>
      </c>
      <c r="I1143" s="14">
        <v>43138</v>
      </c>
      <c r="J1143" s="5">
        <v>4312</v>
      </c>
      <c r="K1143" s="15">
        <v>421.89</v>
      </c>
      <c r="L1143" s="15">
        <v>364.69</v>
      </c>
      <c r="M1143" s="15">
        <v>1819189.68</v>
      </c>
      <c r="N1143" s="15">
        <v>1572543.28</v>
      </c>
      <c r="O1143" s="16">
        <v>246646.39999999991</v>
      </c>
    </row>
    <row r="1144" spans="2:15" ht="18.75" hidden="1" x14ac:dyDescent="0.25">
      <c r="B1144" s="4" t="s">
        <v>81</v>
      </c>
      <c r="C1144" s="5" t="s">
        <v>115</v>
      </c>
      <c r="D1144" s="5" t="s">
        <v>80</v>
      </c>
      <c r="E1144" s="5" t="s">
        <v>132</v>
      </c>
      <c r="F1144" s="5" t="s">
        <v>55</v>
      </c>
      <c r="G1144" s="14">
        <v>42554</v>
      </c>
      <c r="H1144" s="5">
        <v>101025998</v>
      </c>
      <c r="I1144" s="14">
        <v>42578</v>
      </c>
      <c r="J1144" s="5">
        <v>4693</v>
      </c>
      <c r="K1144" s="15">
        <v>668.27</v>
      </c>
      <c r="L1144" s="15">
        <v>502.54</v>
      </c>
      <c r="M1144" s="15">
        <v>3136191.11</v>
      </c>
      <c r="N1144" s="15">
        <v>2358420.2200000002</v>
      </c>
      <c r="O1144" s="16">
        <v>777770.88999999966</v>
      </c>
    </row>
    <row r="1145" spans="2:15" ht="18.75" hidden="1" x14ac:dyDescent="0.25">
      <c r="B1145" s="4" t="s">
        <v>51</v>
      </c>
      <c r="C1145" s="5" t="s">
        <v>174</v>
      </c>
      <c r="D1145" s="5" t="s">
        <v>65</v>
      </c>
      <c r="E1145" s="5" t="s">
        <v>132</v>
      </c>
      <c r="F1145" s="5" t="s">
        <v>70</v>
      </c>
      <c r="G1145" s="14">
        <v>40870</v>
      </c>
      <c r="H1145" s="5">
        <v>101026856</v>
      </c>
      <c r="I1145" s="14">
        <v>40885</v>
      </c>
      <c r="J1145" s="5">
        <v>4947</v>
      </c>
      <c r="K1145" s="15">
        <v>651.21</v>
      </c>
      <c r="L1145" s="15">
        <v>524.96</v>
      </c>
      <c r="M1145" s="15">
        <v>3221535.87</v>
      </c>
      <c r="N1145" s="15">
        <v>2596977.12</v>
      </c>
      <c r="O1145" s="16">
        <v>624558.75</v>
      </c>
    </row>
    <row r="1146" spans="2:15" ht="18.75" hidden="1" x14ac:dyDescent="0.25">
      <c r="B1146" s="4" t="s">
        <v>81</v>
      </c>
      <c r="C1146" s="5" t="s">
        <v>222</v>
      </c>
      <c r="D1146" s="5" t="s">
        <v>68</v>
      </c>
      <c r="E1146" s="5" t="s">
        <v>132</v>
      </c>
      <c r="F1146" s="5" t="s">
        <v>59</v>
      </c>
      <c r="G1146" s="14">
        <v>42007</v>
      </c>
      <c r="H1146" s="5">
        <v>101027286</v>
      </c>
      <c r="I1146" s="14">
        <v>42018</v>
      </c>
      <c r="J1146" s="5">
        <v>5074</v>
      </c>
      <c r="K1146" s="15">
        <v>109.28</v>
      </c>
      <c r="L1146" s="15">
        <v>35.840000000000003</v>
      </c>
      <c r="M1146" s="15">
        <v>554486.72</v>
      </c>
      <c r="N1146" s="15">
        <v>181852.16</v>
      </c>
      <c r="O1146" s="16">
        <v>372634.55999999994</v>
      </c>
    </row>
    <row r="1147" spans="2:15" ht="18.75" hidden="1" x14ac:dyDescent="0.25">
      <c r="B1147" s="4" t="s">
        <v>72</v>
      </c>
      <c r="C1147" s="5" t="s">
        <v>175</v>
      </c>
      <c r="D1147" s="5" t="s">
        <v>76</v>
      </c>
      <c r="E1147" s="5" t="s">
        <v>132</v>
      </c>
      <c r="F1147" s="5" t="s">
        <v>63</v>
      </c>
      <c r="G1147" s="14">
        <v>40323</v>
      </c>
      <c r="H1147" s="5">
        <v>101028144</v>
      </c>
      <c r="I1147" s="14">
        <v>40325</v>
      </c>
      <c r="J1147" s="5">
        <v>5328</v>
      </c>
      <c r="K1147" s="15">
        <v>421.89</v>
      </c>
      <c r="L1147" s="15">
        <v>364.69</v>
      </c>
      <c r="M1147" s="15">
        <v>2247829.92</v>
      </c>
      <c r="N1147" s="15">
        <v>1943068.32</v>
      </c>
      <c r="O1147" s="16">
        <v>304761.59999999986</v>
      </c>
    </row>
    <row r="1148" spans="2:15" ht="18.75" hidden="1" x14ac:dyDescent="0.25">
      <c r="B1148" s="4" t="s">
        <v>81</v>
      </c>
      <c r="C1148" s="5" t="s">
        <v>119</v>
      </c>
      <c r="D1148" s="5" t="s">
        <v>80</v>
      </c>
      <c r="E1148" s="5" t="s">
        <v>132</v>
      </c>
      <c r="F1148" s="5" t="s">
        <v>70</v>
      </c>
      <c r="G1148" s="14">
        <v>43734</v>
      </c>
      <c r="H1148" s="5">
        <v>101029431</v>
      </c>
      <c r="I1148" s="14">
        <v>43774</v>
      </c>
      <c r="J1148" s="5">
        <v>5709</v>
      </c>
      <c r="K1148" s="15">
        <v>668.27</v>
      </c>
      <c r="L1148" s="15">
        <v>502.54</v>
      </c>
      <c r="M1148" s="15">
        <v>3815153.4299999997</v>
      </c>
      <c r="N1148" s="15">
        <v>2869000.8600000003</v>
      </c>
      <c r="O1148" s="16">
        <v>946152.56999999937</v>
      </c>
    </row>
    <row r="1149" spans="2:15" ht="18.75" hidden="1" x14ac:dyDescent="0.25">
      <c r="B1149" s="4" t="s">
        <v>81</v>
      </c>
      <c r="C1149" s="5" t="s">
        <v>241</v>
      </c>
      <c r="D1149" s="5" t="s">
        <v>78</v>
      </c>
      <c r="E1149" s="5" t="s">
        <v>132</v>
      </c>
      <c r="F1149" s="5" t="s">
        <v>55</v>
      </c>
      <c r="G1149" s="14">
        <v>42640</v>
      </c>
      <c r="H1149" s="5">
        <v>101032006</v>
      </c>
      <c r="I1149" s="14">
        <v>42654</v>
      </c>
      <c r="J1149" s="5">
        <v>6471</v>
      </c>
      <c r="K1149" s="15">
        <v>47.45</v>
      </c>
      <c r="L1149" s="15">
        <v>31.79</v>
      </c>
      <c r="M1149" s="15">
        <v>307048.95</v>
      </c>
      <c r="N1149" s="15">
        <v>205713.09</v>
      </c>
      <c r="O1149" s="16">
        <v>101335.86000000002</v>
      </c>
    </row>
    <row r="1150" spans="2:15" ht="18.75" hidden="1" x14ac:dyDescent="0.25">
      <c r="B1150" s="4" t="s">
        <v>72</v>
      </c>
      <c r="C1150" s="5" t="s">
        <v>245</v>
      </c>
      <c r="D1150" s="5" t="s">
        <v>80</v>
      </c>
      <c r="E1150" s="5" t="s">
        <v>132</v>
      </c>
      <c r="F1150" s="5" t="s">
        <v>70</v>
      </c>
      <c r="G1150" s="14">
        <v>40956</v>
      </c>
      <c r="H1150" s="5">
        <v>101032865</v>
      </c>
      <c r="I1150" s="14">
        <v>40961</v>
      </c>
      <c r="J1150" s="5">
        <v>6725</v>
      </c>
      <c r="K1150" s="15">
        <v>668.27</v>
      </c>
      <c r="L1150" s="15">
        <v>502.54</v>
      </c>
      <c r="M1150" s="15">
        <v>4494115.75</v>
      </c>
      <c r="N1150" s="15">
        <v>3379581.5</v>
      </c>
      <c r="O1150" s="16">
        <v>1114534.25</v>
      </c>
    </row>
    <row r="1151" spans="2:15" ht="18.75" hidden="1" x14ac:dyDescent="0.25">
      <c r="B1151" s="4" t="s">
        <v>56</v>
      </c>
      <c r="C1151" s="5" t="s">
        <v>124</v>
      </c>
      <c r="D1151" s="5" t="s">
        <v>62</v>
      </c>
      <c r="E1151" s="5" t="s">
        <v>132</v>
      </c>
      <c r="F1151" s="5" t="s">
        <v>63</v>
      </c>
      <c r="G1151" s="14">
        <v>41546</v>
      </c>
      <c r="H1151" s="5">
        <v>101034581</v>
      </c>
      <c r="I1151" s="14">
        <v>41584</v>
      </c>
      <c r="J1151" s="5">
        <v>7233</v>
      </c>
      <c r="K1151" s="15">
        <v>437.2</v>
      </c>
      <c r="L1151" s="15">
        <v>263.33</v>
      </c>
      <c r="M1151" s="15">
        <v>3162267.6</v>
      </c>
      <c r="N1151" s="15">
        <v>1904665.89</v>
      </c>
      <c r="O1151" s="16">
        <v>1257601.7100000002</v>
      </c>
    </row>
    <row r="1152" spans="2:15" ht="18.75" hidden="1" x14ac:dyDescent="0.25">
      <c r="B1152" s="4" t="s">
        <v>51</v>
      </c>
      <c r="C1152" s="5" t="s">
        <v>125</v>
      </c>
      <c r="D1152" s="5" t="s">
        <v>76</v>
      </c>
      <c r="E1152" s="5" t="s">
        <v>132</v>
      </c>
      <c r="F1152" s="5" t="s">
        <v>55</v>
      </c>
      <c r="G1152" s="14">
        <v>42683</v>
      </c>
      <c r="H1152" s="5">
        <v>101035010</v>
      </c>
      <c r="I1152" s="14">
        <v>42717</v>
      </c>
      <c r="J1152" s="5">
        <v>7360</v>
      </c>
      <c r="K1152" s="15">
        <v>421.89</v>
      </c>
      <c r="L1152" s="15">
        <v>364.69</v>
      </c>
      <c r="M1152" s="15">
        <v>3105110.4</v>
      </c>
      <c r="N1152" s="15">
        <v>2684118.4</v>
      </c>
      <c r="O1152" s="16">
        <v>420992</v>
      </c>
    </row>
    <row r="1153" spans="2:15" ht="18.75" hidden="1" x14ac:dyDescent="0.25">
      <c r="B1153" s="4" t="s">
        <v>81</v>
      </c>
      <c r="C1153" s="5" t="s">
        <v>179</v>
      </c>
      <c r="D1153" s="5" t="s">
        <v>78</v>
      </c>
      <c r="E1153" s="5" t="s">
        <v>132</v>
      </c>
      <c r="F1153" s="5" t="s">
        <v>55</v>
      </c>
      <c r="G1153" s="14">
        <v>43821</v>
      </c>
      <c r="H1153" s="5">
        <v>101035439</v>
      </c>
      <c r="I1153" s="14">
        <v>43851</v>
      </c>
      <c r="J1153" s="5">
        <v>7487</v>
      </c>
      <c r="K1153" s="15">
        <v>47.45</v>
      </c>
      <c r="L1153" s="15">
        <v>31.79</v>
      </c>
      <c r="M1153" s="15">
        <v>355258.15</v>
      </c>
      <c r="N1153" s="15">
        <v>238011.72999999998</v>
      </c>
      <c r="O1153" s="16">
        <v>117246.42000000004</v>
      </c>
    </row>
    <row r="1154" spans="2:15" ht="18.75" hidden="1" x14ac:dyDescent="0.25">
      <c r="B1154" s="4" t="s">
        <v>60</v>
      </c>
      <c r="C1154" s="5" t="s">
        <v>69</v>
      </c>
      <c r="D1154" s="5" t="s">
        <v>53</v>
      </c>
      <c r="E1154" s="5" t="s">
        <v>132</v>
      </c>
      <c r="F1154" s="5" t="s">
        <v>70</v>
      </c>
      <c r="G1154" s="14">
        <v>40999</v>
      </c>
      <c r="H1154" s="5">
        <v>101035869</v>
      </c>
      <c r="I1154" s="14">
        <v>41024</v>
      </c>
      <c r="J1154" s="5">
        <v>7614</v>
      </c>
      <c r="K1154" s="15">
        <v>9.33</v>
      </c>
      <c r="L1154" s="15">
        <v>6.92</v>
      </c>
      <c r="M1154" s="15">
        <v>71038.62</v>
      </c>
      <c r="N1154" s="15">
        <v>52688.88</v>
      </c>
      <c r="O1154" s="16">
        <v>18349.739999999998</v>
      </c>
    </row>
    <row r="1155" spans="2:15" ht="18.75" hidden="1" x14ac:dyDescent="0.25">
      <c r="B1155" s="4" t="s">
        <v>81</v>
      </c>
      <c r="C1155" s="5" t="s">
        <v>181</v>
      </c>
      <c r="D1155" s="5" t="s">
        <v>62</v>
      </c>
      <c r="E1155" s="5" t="s">
        <v>132</v>
      </c>
      <c r="F1155" s="5" t="s">
        <v>63</v>
      </c>
      <c r="G1155" s="14">
        <v>42727</v>
      </c>
      <c r="H1155" s="5">
        <v>101038014</v>
      </c>
      <c r="I1155" s="14">
        <v>42731</v>
      </c>
      <c r="J1155" s="5">
        <v>8249</v>
      </c>
      <c r="K1155" s="15">
        <v>437.2</v>
      </c>
      <c r="L1155" s="15">
        <v>263.33</v>
      </c>
      <c r="M1155" s="15">
        <v>3606462.8</v>
      </c>
      <c r="N1155" s="15">
        <v>2172209.17</v>
      </c>
      <c r="O1155" s="16">
        <v>1434253.63</v>
      </c>
    </row>
    <row r="1156" spans="2:15" ht="18.75" hidden="1" x14ac:dyDescent="0.25">
      <c r="B1156" s="4" t="s">
        <v>74</v>
      </c>
      <c r="C1156" s="5" t="s">
        <v>75</v>
      </c>
      <c r="D1156" s="5" t="s">
        <v>93</v>
      </c>
      <c r="E1156" s="5" t="s">
        <v>132</v>
      </c>
      <c r="F1156" s="5" t="s">
        <v>55</v>
      </c>
      <c r="G1156" s="14">
        <v>43864</v>
      </c>
      <c r="H1156" s="5">
        <v>101038444</v>
      </c>
      <c r="I1156" s="14">
        <v>43914</v>
      </c>
      <c r="J1156" s="5">
        <v>8376</v>
      </c>
      <c r="K1156" s="15">
        <v>81.73</v>
      </c>
      <c r="L1156" s="15">
        <v>56.67</v>
      </c>
      <c r="M1156" s="15">
        <v>684570.48</v>
      </c>
      <c r="N1156" s="15">
        <v>474667.92000000004</v>
      </c>
      <c r="O1156" s="16">
        <v>209902.55999999994</v>
      </c>
    </row>
    <row r="1157" spans="2:15" ht="18.75" hidden="1" x14ac:dyDescent="0.25">
      <c r="B1157" s="4" t="s">
        <v>72</v>
      </c>
      <c r="C1157" s="5" t="s">
        <v>77</v>
      </c>
      <c r="D1157" s="5" t="s">
        <v>78</v>
      </c>
      <c r="E1157" s="5" t="s">
        <v>132</v>
      </c>
      <c r="F1157" s="5" t="s">
        <v>70</v>
      </c>
      <c r="G1157" s="14">
        <v>41042</v>
      </c>
      <c r="H1157" s="5">
        <v>101038873</v>
      </c>
      <c r="I1157" s="14">
        <v>41088</v>
      </c>
      <c r="J1157" s="5">
        <v>8503</v>
      </c>
      <c r="K1157" s="15">
        <v>47.45</v>
      </c>
      <c r="L1157" s="15">
        <v>31.79</v>
      </c>
      <c r="M1157" s="15">
        <v>403467.35000000003</v>
      </c>
      <c r="N1157" s="15">
        <v>270310.37</v>
      </c>
      <c r="O1157" s="16">
        <v>133156.98000000004</v>
      </c>
    </row>
    <row r="1158" spans="2:15" ht="18.75" hidden="1" x14ac:dyDescent="0.25">
      <c r="B1158" s="4" t="s">
        <v>56</v>
      </c>
      <c r="C1158" s="5" t="s">
        <v>183</v>
      </c>
      <c r="D1158" s="5" t="s">
        <v>96</v>
      </c>
      <c r="E1158" s="5" t="s">
        <v>132</v>
      </c>
      <c r="F1158" s="5" t="s">
        <v>70</v>
      </c>
      <c r="G1158" s="14">
        <v>42180</v>
      </c>
      <c r="H1158" s="5">
        <v>101039302</v>
      </c>
      <c r="I1158" s="14">
        <v>42222</v>
      </c>
      <c r="J1158" s="5">
        <v>8630</v>
      </c>
      <c r="K1158" s="15">
        <v>154.06</v>
      </c>
      <c r="L1158" s="15">
        <v>90.93</v>
      </c>
      <c r="M1158" s="15">
        <v>1329537.8</v>
      </c>
      <c r="N1158" s="15">
        <v>784725.9</v>
      </c>
      <c r="O1158" s="16">
        <v>544811.9</v>
      </c>
    </row>
    <row r="1159" spans="2:15" ht="18.75" hidden="1" x14ac:dyDescent="0.25">
      <c r="B1159" s="4" t="s">
        <v>81</v>
      </c>
      <c r="C1159" s="5" t="s">
        <v>82</v>
      </c>
      <c r="D1159" s="5" t="s">
        <v>100</v>
      </c>
      <c r="E1159" s="5" t="s">
        <v>132</v>
      </c>
      <c r="F1159" s="5" t="s">
        <v>59</v>
      </c>
      <c r="G1159" s="14">
        <v>40495</v>
      </c>
      <c r="H1159" s="5">
        <v>101040160</v>
      </c>
      <c r="I1159" s="14">
        <v>40528</v>
      </c>
      <c r="J1159" s="5">
        <v>8884</v>
      </c>
      <c r="K1159" s="15">
        <v>205.7</v>
      </c>
      <c r="L1159" s="15">
        <v>117.11</v>
      </c>
      <c r="M1159" s="15">
        <v>1827438.7999999998</v>
      </c>
      <c r="N1159" s="15">
        <v>1040405.24</v>
      </c>
      <c r="O1159" s="16">
        <v>787033.55999999982</v>
      </c>
    </row>
    <row r="1160" spans="2:15" ht="18.75" hidden="1" x14ac:dyDescent="0.25">
      <c r="B1160" s="4" t="s">
        <v>60</v>
      </c>
      <c r="C1160" s="5" t="s">
        <v>184</v>
      </c>
      <c r="D1160" s="5" t="s">
        <v>65</v>
      </c>
      <c r="E1160" s="5" t="s">
        <v>132</v>
      </c>
      <c r="F1160" s="5" t="s">
        <v>63</v>
      </c>
      <c r="G1160" s="14">
        <v>41632</v>
      </c>
      <c r="H1160" s="5">
        <v>101040589</v>
      </c>
      <c r="I1160" s="14">
        <v>41660</v>
      </c>
      <c r="J1160" s="5">
        <v>9011</v>
      </c>
      <c r="K1160" s="15">
        <v>651.21</v>
      </c>
      <c r="L1160" s="15">
        <v>524.96</v>
      </c>
      <c r="M1160" s="15">
        <v>5868053.3100000005</v>
      </c>
      <c r="N1160" s="15">
        <v>4730414.5600000005</v>
      </c>
      <c r="O1160" s="16">
        <v>1137638.75</v>
      </c>
    </row>
    <row r="1161" spans="2:15" ht="18.75" hidden="1" x14ac:dyDescent="0.25">
      <c r="B1161" s="4" t="s">
        <v>51</v>
      </c>
      <c r="C1161" s="5" t="s">
        <v>83</v>
      </c>
      <c r="D1161" s="5" t="s">
        <v>88</v>
      </c>
      <c r="E1161" s="5" t="s">
        <v>132</v>
      </c>
      <c r="F1161" s="5" t="s">
        <v>63</v>
      </c>
      <c r="G1161" s="14">
        <v>42770</v>
      </c>
      <c r="H1161" s="5">
        <v>101041018</v>
      </c>
      <c r="I1161" s="14">
        <v>42794</v>
      </c>
      <c r="J1161" s="5">
        <v>9138</v>
      </c>
      <c r="K1161" s="15">
        <v>152.58000000000001</v>
      </c>
      <c r="L1161" s="15">
        <v>97.44</v>
      </c>
      <c r="M1161" s="15">
        <v>1394276.04</v>
      </c>
      <c r="N1161" s="15">
        <v>890406.72</v>
      </c>
      <c r="O1161" s="16">
        <v>503869.32000000007</v>
      </c>
    </row>
    <row r="1162" spans="2:15" ht="18.75" x14ac:dyDescent="0.25">
      <c r="B1162" s="4" t="s">
        <v>81</v>
      </c>
      <c r="C1162" s="5" t="s">
        <v>84</v>
      </c>
      <c r="D1162" s="5" t="s">
        <v>62</v>
      </c>
      <c r="E1162" s="5" t="s">
        <v>132</v>
      </c>
      <c r="F1162" s="5" t="s">
        <v>55</v>
      </c>
      <c r="G1162" s="14">
        <v>43907</v>
      </c>
      <c r="H1162" s="5">
        <v>101041448</v>
      </c>
      <c r="I1162" s="14">
        <v>43927</v>
      </c>
      <c r="J1162" s="5">
        <v>9265</v>
      </c>
      <c r="K1162" s="15">
        <v>437.2</v>
      </c>
      <c r="L1162" s="15">
        <v>263.33</v>
      </c>
      <c r="M1162" s="15">
        <v>4050658</v>
      </c>
      <c r="N1162" s="15">
        <v>2439752.4499999997</v>
      </c>
      <c r="O1162" s="16">
        <v>1610905.5500000003</v>
      </c>
    </row>
    <row r="1163" spans="2:15" ht="18.75" hidden="1" x14ac:dyDescent="0.25">
      <c r="B1163" s="4" t="s">
        <v>60</v>
      </c>
      <c r="C1163" s="5" t="s">
        <v>139</v>
      </c>
      <c r="D1163" s="5" t="s">
        <v>93</v>
      </c>
      <c r="E1163" s="5" t="s">
        <v>132</v>
      </c>
      <c r="F1163" s="5" t="s">
        <v>55</v>
      </c>
      <c r="G1163" s="14">
        <v>41085</v>
      </c>
      <c r="H1163" s="5">
        <v>101041877</v>
      </c>
      <c r="I1163" s="14">
        <v>41100</v>
      </c>
      <c r="J1163" s="5">
        <v>9392</v>
      </c>
      <c r="K1163" s="15">
        <v>81.73</v>
      </c>
      <c r="L1163" s="15">
        <v>56.67</v>
      </c>
      <c r="M1163" s="15">
        <v>767608.16</v>
      </c>
      <c r="N1163" s="15">
        <v>532244.64</v>
      </c>
      <c r="O1163" s="16">
        <v>235363.52000000002</v>
      </c>
    </row>
    <row r="1164" spans="2:15" ht="18.75" hidden="1" x14ac:dyDescent="0.25">
      <c r="B1164" s="4" t="s">
        <v>56</v>
      </c>
      <c r="C1164" s="5" t="s">
        <v>86</v>
      </c>
      <c r="D1164" s="5" t="s">
        <v>65</v>
      </c>
      <c r="E1164" s="5" t="s">
        <v>132</v>
      </c>
      <c r="F1164" s="5" t="s">
        <v>63</v>
      </c>
      <c r="G1164" s="14">
        <v>42813</v>
      </c>
      <c r="H1164" s="5">
        <v>101044023</v>
      </c>
      <c r="I1164" s="14">
        <v>42858</v>
      </c>
      <c r="J1164" s="5">
        <v>27</v>
      </c>
      <c r="K1164" s="15">
        <v>651.21</v>
      </c>
      <c r="L1164" s="15">
        <v>524.96</v>
      </c>
      <c r="M1164" s="15">
        <v>17582.670000000002</v>
      </c>
      <c r="N1164" s="15">
        <v>14173.920000000002</v>
      </c>
      <c r="O1164" s="16">
        <v>3408.75</v>
      </c>
    </row>
    <row r="1165" spans="2:15" ht="18.75" hidden="1" x14ac:dyDescent="0.25">
      <c r="B1165" s="4" t="s">
        <v>51</v>
      </c>
      <c r="C1165" s="5" t="s">
        <v>87</v>
      </c>
      <c r="D1165" s="5" t="s">
        <v>88</v>
      </c>
      <c r="E1165" s="5" t="s">
        <v>132</v>
      </c>
      <c r="F1165" s="5" t="s">
        <v>55</v>
      </c>
      <c r="G1165" s="14">
        <v>43950</v>
      </c>
      <c r="H1165" s="5">
        <v>101044452</v>
      </c>
      <c r="I1165" s="14">
        <v>43990</v>
      </c>
      <c r="J1165" s="5">
        <v>154</v>
      </c>
      <c r="K1165" s="15">
        <v>152.58000000000001</v>
      </c>
      <c r="L1165" s="15">
        <v>97.44</v>
      </c>
      <c r="M1165" s="15">
        <v>23497.320000000003</v>
      </c>
      <c r="N1165" s="15">
        <v>15005.76</v>
      </c>
      <c r="O1165" s="16">
        <v>8491.5600000000031</v>
      </c>
    </row>
    <row r="1166" spans="2:15" ht="18.75" hidden="1" x14ac:dyDescent="0.25">
      <c r="B1166" s="4" t="s">
        <v>81</v>
      </c>
      <c r="C1166" s="5" t="s">
        <v>187</v>
      </c>
      <c r="D1166" s="5" t="s">
        <v>96</v>
      </c>
      <c r="E1166" s="5" t="s">
        <v>132</v>
      </c>
      <c r="F1166" s="5" t="s">
        <v>59</v>
      </c>
      <c r="G1166" s="14">
        <v>40582</v>
      </c>
      <c r="H1166" s="5">
        <v>101046168</v>
      </c>
      <c r="I1166" s="14">
        <v>40605</v>
      </c>
      <c r="J1166" s="5">
        <v>662</v>
      </c>
      <c r="K1166" s="15">
        <v>154.06</v>
      </c>
      <c r="L1166" s="15">
        <v>90.93</v>
      </c>
      <c r="M1166" s="15">
        <v>101987.72</v>
      </c>
      <c r="N1166" s="15">
        <v>60195.66</v>
      </c>
      <c r="O1166" s="16">
        <v>41792.06</v>
      </c>
    </row>
    <row r="1167" spans="2:15" ht="18.75" hidden="1" x14ac:dyDescent="0.25">
      <c r="B1167" s="4" t="s">
        <v>60</v>
      </c>
      <c r="C1167" s="5" t="s">
        <v>90</v>
      </c>
      <c r="D1167" s="5" t="s">
        <v>80</v>
      </c>
      <c r="E1167" s="5" t="s">
        <v>132</v>
      </c>
      <c r="F1167" s="5" t="s">
        <v>59</v>
      </c>
      <c r="G1167" s="14">
        <v>41719</v>
      </c>
      <c r="H1167" s="5">
        <v>101046597</v>
      </c>
      <c r="I1167" s="14">
        <v>41737</v>
      </c>
      <c r="J1167" s="5">
        <v>789</v>
      </c>
      <c r="K1167" s="15">
        <v>668.27</v>
      </c>
      <c r="L1167" s="15">
        <v>502.54</v>
      </c>
      <c r="M1167" s="15">
        <v>527265.03</v>
      </c>
      <c r="N1167" s="15">
        <v>396504.06</v>
      </c>
      <c r="O1167" s="16">
        <v>130760.97000000003</v>
      </c>
    </row>
    <row r="1168" spans="2:15" ht="18.75" hidden="1" x14ac:dyDescent="0.25">
      <c r="B1168" s="4" t="s">
        <v>51</v>
      </c>
      <c r="C1168" s="5" t="s">
        <v>205</v>
      </c>
      <c r="D1168" s="5" t="s">
        <v>100</v>
      </c>
      <c r="E1168" s="5" t="s">
        <v>132</v>
      </c>
      <c r="F1168" s="5" t="s">
        <v>63</v>
      </c>
      <c r="G1168" s="14">
        <v>42856</v>
      </c>
      <c r="H1168" s="5">
        <v>101047027</v>
      </c>
      <c r="I1168" s="14">
        <v>42870</v>
      </c>
      <c r="J1168" s="5">
        <v>916</v>
      </c>
      <c r="K1168" s="15">
        <v>205.7</v>
      </c>
      <c r="L1168" s="15">
        <v>117.11</v>
      </c>
      <c r="M1168" s="15">
        <v>188421.19999999998</v>
      </c>
      <c r="N1168" s="15">
        <v>107272.76</v>
      </c>
      <c r="O1168" s="16">
        <v>81148.439999999988</v>
      </c>
    </row>
    <row r="1169" spans="2:15" ht="18.75" hidden="1" x14ac:dyDescent="0.25">
      <c r="B1169" s="4" t="s">
        <v>74</v>
      </c>
      <c r="C1169" s="5" t="s">
        <v>188</v>
      </c>
      <c r="D1169" s="5" t="s">
        <v>88</v>
      </c>
      <c r="E1169" s="5" t="s">
        <v>132</v>
      </c>
      <c r="F1169" s="5" t="s">
        <v>55</v>
      </c>
      <c r="G1169" s="14">
        <v>41172</v>
      </c>
      <c r="H1169" s="5">
        <v>101047885</v>
      </c>
      <c r="I1169" s="14">
        <v>41177</v>
      </c>
      <c r="J1169" s="5">
        <v>1170</v>
      </c>
      <c r="K1169" s="15">
        <v>152.58000000000001</v>
      </c>
      <c r="L1169" s="15">
        <v>97.44</v>
      </c>
      <c r="M1169" s="15">
        <v>178518.6</v>
      </c>
      <c r="N1169" s="15">
        <v>114004.8</v>
      </c>
      <c r="O1169" s="16">
        <v>64513.8</v>
      </c>
    </row>
    <row r="1170" spans="2:15" ht="18.75" hidden="1" x14ac:dyDescent="0.25">
      <c r="B1170" s="4" t="s">
        <v>56</v>
      </c>
      <c r="C1170" s="5" t="s">
        <v>92</v>
      </c>
      <c r="D1170" s="5" t="s">
        <v>93</v>
      </c>
      <c r="E1170" s="5" t="s">
        <v>132</v>
      </c>
      <c r="F1170" s="5" t="s">
        <v>70</v>
      </c>
      <c r="G1170" s="14">
        <v>43446</v>
      </c>
      <c r="H1170" s="5">
        <v>101048743</v>
      </c>
      <c r="I1170" s="14">
        <v>43494</v>
      </c>
      <c r="J1170" s="5">
        <v>1424</v>
      </c>
      <c r="K1170" s="15">
        <v>81.73</v>
      </c>
      <c r="L1170" s="15">
        <v>56.67</v>
      </c>
      <c r="M1170" s="15">
        <v>116383.52</v>
      </c>
      <c r="N1170" s="15">
        <v>80698.080000000002</v>
      </c>
      <c r="O1170" s="16">
        <v>35685.440000000002</v>
      </c>
    </row>
    <row r="1171" spans="2:15" ht="18.75" hidden="1" x14ac:dyDescent="0.25">
      <c r="B1171" s="4" t="s">
        <v>60</v>
      </c>
      <c r="C1171" s="5" t="s">
        <v>243</v>
      </c>
      <c r="D1171" s="5" t="s">
        <v>88</v>
      </c>
      <c r="E1171" s="5" t="s">
        <v>132</v>
      </c>
      <c r="F1171" s="5" t="s">
        <v>55</v>
      </c>
      <c r="G1171" s="14">
        <v>42352</v>
      </c>
      <c r="H1171" s="5">
        <v>101051318</v>
      </c>
      <c r="I1171" s="14">
        <v>42374</v>
      </c>
      <c r="J1171" s="5">
        <v>2185</v>
      </c>
      <c r="K1171" s="15">
        <v>152.58000000000001</v>
      </c>
      <c r="L1171" s="15">
        <v>97.44</v>
      </c>
      <c r="M1171" s="15">
        <v>333387.30000000005</v>
      </c>
      <c r="N1171" s="15">
        <v>212906.4</v>
      </c>
      <c r="O1171" s="16">
        <v>120480.90000000005</v>
      </c>
    </row>
    <row r="1172" spans="2:15" ht="18.75" hidden="1" x14ac:dyDescent="0.25">
      <c r="B1172" s="4" t="s">
        <v>51</v>
      </c>
      <c r="C1172" s="5" t="s">
        <v>191</v>
      </c>
      <c r="D1172" s="5" t="s">
        <v>62</v>
      </c>
      <c r="E1172" s="5" t="s">
        <v>132</v>
      </c>
      <c r="F1172" s="5" t="s">
        <v>70</v>
      </c>
      <c r="G1172" s="14">
        <v>43490</v>
      </c>
      <c r="H1172" s="5">
        <v>101051747</v>
      </c>
      <c r="I1172" s="14">
        <v>43507</v>
      </c>
      <c r="J1172" s="5">
        <v>2312</v>
      </c>
      <c r="K1172" s="15">
        <v>437.2</v>
      </c>
      <c r="L1172" s="15">
        <v>263.33</v>
      </c>
      <c r="M1172" s="15">
        <v>1010806.4</v>
      </c>
      <c r="N1172" s="15">
        <v>608818.96</v>
      </c>
      <c r="O1172" s="16">
        <v>401987.44000000006</v>
      </c>
    </row>
    <row r="1173" spans="2:15" ht="18.75" hidden="1" x14ac:dyDescent="0.25">
      <c r="B1173" s="4" t="s">
        <v>81</v>
      </c>
      <c r="C1173" s="5" t="s">
        <v>192</v>
      </c>
      <c r="D1173" s="5" t="s">
        <v>93</v>
      </c>
      <c r="E1173" s="5" t="s">
        <v>132</v>
      </c>
      <c r="F1173" s="5" t="s">
        <v>70</v>
      </c>
      <c r="G1173" s="14">
        <v>40668</v>
      </c>
      <c r="H1173" s="5">
        <v>101052176</v>
      </c>
      <c r="I1173" s="14">
        <v>40681</v>
      </c>
      <c r="J1173" s="5">
        <v>2439</v>
      </c>
      <c r="K1173" s="15">
        <v>81.73</v>
      </c>
      <c r="L1173" s="15">
        <v>56.67</v>
      </c>
      <c r="M1173" s="15">
        <v>199339.47</v>
      </c>
      <c r="N1173" s="15">
        <v>138218.13</v>
      </c>
      <c r="O1173" s="16">
        <v>61121.34</v>
      </c>
    </row>
    <row r="1174" spans="2:15" ht="18.75" hidden="1" x14ac:dyDescent="0.25">
      <c r="B1174" s="4" t="s">
        <v>74</v>
      </c>
      <c r="C1174" s="5" t="s">
        <v>99</v>
      </c>
      <c r="D1174" s="5" t="s">
        <v>100</v>
      </c>
      <c r="E1174" s="5" t="s">
        <v>132</v>
      </c>
      <c r="F1174" s="5" t="s">
        <v>55</v>
      </c>
      <c r="G1174" s="14">
        <v>41258</v>
      </c>
      <c r="H1174" s="5">
        <v>101053893</v>
      </c>
      <c r="I1174" s="14">
        <v>41304</v>
      </c>
      <c r="J1174" s="5">
        <v>2947</v>
      </c>
      <c r="K1174" s="15">
        <v>205.7</v>
      </c>
      <c r="L1174" s="15">
        <v>117.11</v>
      </c>
      <c r="M1174" s="15">
        <v>606197.9</v>
      </c>
      <c r="N1174" s="15">
        <v>345123.17</v>
      </c>
      <c r="O1174" s="16">
        <v>261074.73000000004</v>
      </c>
    </row>
    <row r="1175" spans="2:15" ht="18.75" hidden="1" x14ac:dyDescent="0.25">
      <c r="B1175" s="4" t="s">
        <v>72</v>
      </c>
      <c r="C1175" s="5" t="s">
        <v>101</v>
      </c>
      <c r="D1175" s="5" t="s">
        <v>65</v>
      </c>
      <c r="E1175" s="5" t="s">
        <v>132</v>
      </c>
      <c r="F1175" s="5" t="s">
        <v>55</v>
      </c>
      <c r="G1175" s="14">
        <v>42395</v>
      </c>
      <c r="H1175" s="5">
        <v>101054322</v>
      </c>
      <c r="I1175" s="14">
        <v>42437</v>
      </c>
      <c r="J1175" s="5">
        <v>3074</v>
      </c>
      <c r="K1175" s="15">
        <v>651.21</v>
      </c>
      <c r="L1175" s="15">
        <v>524.96</v>
      </c>
      <c r="M1175" s="15">
        <v>2001819.54</v>
      </c>
      <c r="N1175" s="15">
        <v>1613727.04</v>
      </c>
      <c r="O1175" s="16">
        <v>388092.5</v>
      </c>
    </row>
    <row r="1176" spans="2:15" ht="18.75" hidden="1" x14ac:dyDescent="0.25">
      <c r="B1176" s="4" t="s">
        <v>56</v>
      </c>
      <c r="C1176" s="5" t="s">
        <v>235</v>
      </c>
      <c r="D1176" s="5" t="s">
        <v>88</v>
      </c>
      <c r="E1176" s="5" t="s">
        <v>132</v>
      </c>
      <c r="F1176" s="5" t="s">
        <v>70</v>
      </c>
      <c r="G1176" s="14">
        <v>43533</v>
      </c>
      <c r="H1176" s="5">
        <v>101054751</v>
      </c>
      <c r="I1176" s="14">
        <v>43571</v>
      </c>
      <c r="J1176" s="5">
        <v>3201</v>
      </c>
      <c r="K1176" s="15">
        <v>152.58000000000001</v>
      </c>
      <c r="L1176" s="15">
        <v>97.44</v>
      </c>
      <c r="M1176" s="15">
        <v>488408.58</v>
      </c>
      <c r="N1176" s="15">
        <v>311905.44</v>
      </c>
      <c r="O1176" s="16">
        <v>176503.14</v>
      </c>
    </row>
    <row r="1177" spans="2:15" ht="18.75" hidden="1" x14ac:dyDescent="0.25">
      <c r="B1177" s="4" t="s">
        <v>81</v>
      </c>
      <c r="C1177" s="5" t="s">
        <v>102</v>
      </c>
      <c r="D1177" s="5" t="s">
        <v>93</v>
      </c>
      <c r="E1177" s="5" t="s">
        <v>132</v>
      </c>
      <c r="F1177" s="5" t="s">
        <v>59</v>
      </c>
      <c r="G1177" s="14">
        <v>41848</v>
      </c>
      <c r="H1177" s="5">
        <v>101055610</v>
      </c>
      <c r="I1177" s="14">
        <v>41877</v>
      </c>
      <c r="J1177" s="5">
        <v>3455</v>
      </c>
      <c r="K1177" s="15">
        <v>81.73</v>
      </c>
      <c r="L1177" s="15">
        <v>56.67</v>
      </c>
      <c r="M1177" s="15">
        <v>282377.15000000002</v>
      </c>
      <c r="N1177" s="15">
        <v>195794.85</v>
      </c>
      <c r="O1177" s="16">
        <v>86582.300000000017</v>
      </c>
    </row>
    <row r="1178" spans="2:15" ht="18.75" hidden="1" x14ac:dyDescent="0.25">
      <c r="B1178" s="4" t="s">
        <v>81</v>
      </c>
      <c r="C1178" s="5" t="s">
        <v>194</v>
      </c>
      <c r="D1178" s="5" t="s">
        <v>68</v>
      </c>
      <c r="E1178" s="5" t="s">
        <v>132</v>
      </c>
      <c r="F1178" s="5" t="s">
        <v>63</v>
      </c>
      <c r="G1178" s="14">
        <v>41301</v>
      </c>
      <c r="H1178" s="5">
        <v>101056897</v>
      </c>
      <c r="I1178" s="14">
        <v>41317</v>
      </c>
      <c r="J1178" s="5">
        <v>3836</v>
      </c>
      <c r="K1178" s="15">
        <v>109.28</v>
      </c>
      <c r="L1178" s="15">
        <v>35.840000000000003</v>
      </c>
      <c r="M1178" s="15">
        <v>419198.08</v>
      </c>
      <c r="N1178" s="15">
        <v>137482.24000000002</v>
      </c>
      <c r="O1178" s="16">
        <v>281715.83999999997</v>
      </c>
    </row>
    <row r="1179" spans="2:15" ht="18.75" hidden="1" x14ac:dyDescent="0.25">
      <c r="B1179" s="4" t="s">
        <v>60</v>
      </c>
      <c r="C1179" s="5" t="s">
        <v>253</v>
      </c>
      <c r="D1179" s="5" t="s">
        <v>100</v>
      </c>
      <c r="E1179" s="5" t="s">
        <v>132</v>
      </c>
      <c r="F1179" s="5" t="s">
        <v>55</v>
      </c>
      <c r="G1179" s="14">
        <v>42439</v>
      </c>
      <c r="H1179" s="5">
        <v>101057326</v>
      </c>
      <c r="I1179" s="14">
        <v>42450</v>
      </c>
      <c r="J1179" s="5">
        <v>3963</v>
      </c>
      <c r="K1179" s="15">
        <v>205.7</v>
      </c>
      <c r="L1179" s="15">
        <v>117.11</v>
      </c>
      <c r="M1179" s="15">
        <v>815189.1</v>
      </c>
      <c r="N1179" s="15">
        <v>464106.93</v>
      </c>
      <c r="O1179" s="16">
        <v>351082.17</v>
      </c>
    </row>
    <row r="1180" spans="2:15" ht="18.75" hidden="1" x14ac:dyDescent="0.25">
      <c r="B1180" s="4" t="s">
        <v>51</v>
      </c>
      <c r="C1180" s="5" t="s">
        <v>195</v>
      </c>
      <c r="D1180" s="5" t="s">
        <v>76</v>
      </c>
      <c r="E1180" s="5" t="s">
        <v>132</v>
      </c>
      <c r="F1180" s="5" t="s">
        <v>55</v>
      </c>
      <c r="G1180" s="14">
        <v>43576</v>
      </c>
      <c r="H1180" s="5">
        <v>101057755</v>
      </c>
      <c r="I1180" s="14">
        <v>43583</v>
      </c>
      <c r="J1180" s="5">
        <v>4090</v>
      </c>
      <c r="K1180" s="15">
        <v>421.89</v>
      </c>
      <c r="L1180" s="15">
        <v>364.69</v>
      </c>
      <c r="M1180" s="15">
        <v>1725530.0999999999</v>
      </c>
      <c r="N1180" s="15">
        <v>1491582.1</v>
      </c>
      <c r="O1180" s="16">
        <v>233947.99999999977</v>
      </c>
    </row>
    <row r="1181" spans="2:15" ht="18.75" hidden="1" x14ac:dyDescent="0.25">
      <c r="B1181" s="4" t="s">
        <v>74</v>
      </c>
      <c r="C1181" s="5" t="s">
        <v>104</v>
      </c>
      <c r="D1181" s="5" t="s">
        <v>53</v>
      </c>
      <c r="E1181" s="5" t="s">
        <v>132</v>
      </c>
      <c r="F1181" s="5" t="s">
        <v>59</v>
      </c>
      <c r="G1181" s="14">
        <v>41892</v>
      </c>
      <c r="H1181" s="5">
        <v>101058614</v>
      </c>
      <c r="I1181" s="14">
        <v>41941</v>
      </c>
      <c r="J1181" s="5">
        <v>4344</v>
      </c>
      <c r="K1181" s="15">
        <v>9.33</v>
      </c>
      <c r="L1181" s="15">
        <v>6.92</v>
      </c>
      <c r="M1181" s="15">
        <v>40529.519999999997</v>
      </c>
      <c r="N1181" s="15">
        <v>30060.48</v>
      </c>
      <c r="O1181" s="16">
        <v>10469.039999999997</v>
      </c>
    </row>
    <row r="1182" spans="2:15" ht="18.75" hidden="1" x14ac:dyDescent="0.25">
      <c r="B1182" s="4" t="s">
        <v>51</v>
      </c>
      <c r="C1182" s="5" t="s">
        <v>107</v>
      </c>
      <c r="D1182" s="5" t="s">
        <v>76</v>
      </c>
      <c r="E1182" s="5" t="s">
        <v>132</v>
      </c>
      <c r="F1182" s="5" t="s">
        <v>70</v>
      </c>
      <c r="G1182" s="14">
        <v>40797</v>
      </c>
      <c r="H1182" s="5">
        <v>101061189</v>
      </c>
      <c r="I1182" s="14">
        <v>40820</v>
      </c>
      <c r="J1182" s="5">
        <v>5106</v>
      </c>
      <c r="K1182" s="15">
        <v>421.89</v>
      </c>
      <c r="L1182" s="15">
        <v>364.69</v>
      </c>
      <c r="M1182" s="15">
        <v>2154170.34</v>
      </c>
      <c r="N1182" s="15">
        <v>1862107.14</v>
      </c>
      <c r="O1182" s="16">
        <v>292063.19999999995</v>
      </c>
    </row>
    <row r="1183" spans="2:15" ht="18.75" hidden="1" x14ac:dyDescent="0.25">
      <c r="B1183" s="4" t="s">
        <v>81</v>
      </c>
      <c r="C1183" s="5" t="s">
        <v>157</v>
      </c>
      <c r="D1183" s="5" t="s">
        <v>88</v>
      </c>
      <c r="E1183" s="5" t="s">
        <v>132</v>
      </c>
      <c r="F1183" s="5" t="s">
        <v>70</v>
      </c>
      <c r="G1183" s="14">
        <v>41935</v>
      </c>
      <c r="H1183" s="5">
        <v>101061618</v>
      </c>
      <c r="I1183" s="14">
        <v>41954</v>
      </c>
      <c r="J1183" s="5">
        <v>5233</v>
      </c>
      <c r="K1183" s="15">
        <v>152.58000000000001</v>
      </c>
      <c r="L1183" s="15">
        <v>97.44</v>
      </c>
      <c r="M1183" s="15">
        <v>798451.14</v>
      </c>
      <c r="N1183" s="15">
        <v>509903.51999999996</v>
      </c>
      <c r="O1183" s="16">
        <v>288547.62000000005</v>
      </c>
    </row>
    <row r="1184" spans="2:15" ht="18.75" hidden="1" x14ac:dyDescent="0.25">
      <c r="B1184" s="4" t="s">
        <v>51</v>
      </c>
      <c r="C1184" s="5" t="s">
        <v>244</v>
      </c>
      <c r="D1184" s="5" t="s">
        <v>93</v>
      </c>
      <c r="E1184" s="5" t="s">
        <v>132</v>
      </c>
      <c r="F1184" s="5" t="s">
        <v>59</v>
      </c>
      <c r="G1184" s="14">
        <v>40250</v>
      </c>
      <c r="H1184" s="5">
        <v>101062476</v>
      </c>
      <c r="I1184" s="14">
        <v>40260</v>
      </c>
      <c r="J1184" s="5">
        <v>5487</v>
      </c>
      <c r="K1184" s="15">
        <v>81.73</v>
      </c>
      <c r="L1184" s="15">
        <v>56.67</v>
      </c>
      <c r="M1184" s="15">
        <v>448452.51</v>
      </c>
      <c r="N1184" s="15">
        <v>310948.29000000004</v>
      </c>
      <c r="O1184" s="16">
        <v>137504.21999999997</v>
      </c>
    </row>
    <row r="1185" spans="2:15" ht="18.75" hidden="1" x14ac:dyDescent="0.25">
      <c r="B1185" s="4" t="s">
        <v>81</v>
      </c>
      <c r="C1185" s="5" t="s">
        <v>108</v>
      </c>
      <c r="D1185" s="5" t="s">
        <v>58</v>
      </c>
      <c r="E1185" s="5" t="s">
        <v>132</v>
      </c>
      <c r="F1185" s="5" t="s">
        <v>63</v>
      </c>
      <c r="G1185" s="14">
        <v>41388</v>
      </c>
      <c r="H1185" s="5">
        <v>101062905</v>
      </c>
      <c r="I1185" s="14">
        <v>41394</v>
      </c>
      <c r="J1185" s="5">
        <v>5614</v>
      </c>
      <c r="K1185" s="15">
        <v>255.28</v>
      </c>
      <c r="L1185" s="15">
        <v>159.41999999999999</v>
      </c>
      <c r="M1185" s="15">
        <v>1433141.92</v>
      </c>
      <c r="N1185" s="15">
        <v>894983.87999999989</v>
      </c>
      <c r="O1185" s="16">
        <v>538158.04</v>
      </c>
    </row>
    <row r="1186" spans="2:15" ht="18.75" hidden="1" x14ac:dyDescent="0.25">
      <c r="B1186" s="4" t="s">
        <v>72</v>
      </c>
      <c r="C1186" s="5" t="s">
        <v>109</v>
      </c>
      <c r="D1186" s="5" t="s">
        <v>68</v>
      </c>
      <c r="E1186" s="5" t="s">
        <v>132</v>
      </c>
      <c r="F1186" s="5" t="s">
        <v>55</v>
      </c>
      <c r="G1186" s="14">
        <v>43662</v>
      </c>
      <c r="H1186" s="5">
        <v>101063764</v>
      </c>
      <c r="I1186" s="14">
        <v>43710</v>
      </c>
      <c r="J1186" s="5">
        <v>5868</v>
      </c>
      <c r="K1186" s="15">
        <v>109.28</v>
      </c>
      <c r="L1186" s="15">
        <v>35.840000000000003</v>
      </c>
      <c r="M1186" s="15">
        <v>641255.04</v>
      </c>
      <c r="N1186" s="15">
        <v>210309.12000000002</v>
      </c>
      <c r="O1186" s="16">
        <v>430945.92000000004</v>
      </c>
    </row>
    <row r="1187" spans="2:15" ht="18.75" hidden="1" x14ac:dyDescent="0.25">
      <c r="B1187" s="4" t="s">
        <v>81</v>
      </c>
      <c r="C1187" s="5" t="s">
        <v>110</v>
      </c>
      <c r="D1187" s="5" t="s">
        <v>100</v>
      </c>
      <c r="E1187" s="5" t="s">
        <v>132</v>
      </c>
      <c r="F1187" s="5" t="s">
        <v>70</v>
      </c>
      <c r="G1187" s="14">
        <v>40841</v>
      </c>
      <c r="H1187" s="5">
        <v>101064193</v>
      </c>
      <c r="I1187" s="14">
        <v>40885</v>
      </c>
      <c r="J1187" s="5">
        <v>5995</v>
      </c>
      <c r="K1187" s="15">
        <v>205.7</v>
      </c>
      <c r="L1187" s="15">
        <v>117.11</v>
      </c>
      <c r="M1187" s="15">
        <v>1233171.5</v>
      </c>
      <c r="N1187" s="15">
        <v>702074.45</v>
      </c>
      <c r="O1187" s="16">
        <v>531097.05000000005</v>
      </c>
    </row>
    <row r="1188" spans="2:15" ht="18.75" hidden="1" x14ac:dyDescent="0.25">
      <c r="B1188" s="4" t="s">
        <v>51</v>
      </c>
      <c r="C1188" s="5" t="s">
        <v>113</v>
      </c>
      <c r="D1188" s="5" t="s">
        <v>93</v>
      </c>
      <c r="E1188" s="5" t="s">
        <v>132</v>
      </c>
      <c r="F1188" s="5" t="s">
        <v>63</v>
      </c>
      <c r="G1188" s="14">
        <v>41431</v>
      </c>
      <c r="H1188" s="5">
        <v>101065909</v>
      </c>
      <c r="I1188" s="14">
        <v>41457</v>
      </c>
      <c r="J1188" s="5">
        <v>6503</v>
      </c>
      <c r="K1188" s="15">
        <v>81.73</v>
      </c>
      <c r="L1188" s="15">
        <v>56.67</v>
      </c>
      <c r="M1188" s="15">
        <v>531490.19000000006</v>
      </c>
      <c r="N1188" s="15">
        <v>368525.01</v>
      </c>
      <c r="O1188" s="16">
        <v>162965.18000000005</v>
      </c>
    </row>
    <row r="1189" spans="2:15" ht="18.75" hidden="1" x14ac:dyDescent="0.25">
      <c r="B1189" s="4" t="s">
        <v>60</v>
      </c>
      <c r="C1189" s="5" t="s">
        <v>200</v>
      </c>
      <c r="D1189" s="5" t="s">
        <v>96</v>
      </c>
      <c r="E1189" s="5" t="s">
        <v>132</v>
      </c>
      <c r="F1189" s="5" t="s">
        <v>55</v>
      </c>
      <c r="G1189" s="14">
        <v>43705</v>
      </c>
      <c r="H1189" s="5">
        <v>101066768</v>
      </c>
      <c r="I1189" s="14">
        <v>43723</v>
      </c>
      <c r="J1189" s="5">
        <v>6757</v>
      </c>
      <c r="K1189" s="15">
        <v>154.06</v>
      </c>
      <c r="L1189" s="15">
        <v>90.93</v>
      </c>
      <c r="M1189" s="15">
        <v>1040983.42</v>
      </c>
      <c r="N1189" s="15">
        <v>614414.01</v>
      </c>
      <c r="O1189" s="16">
        <v>426569.41000000003</v>
      </c>
    </row>
    <row r="1190" spans="2:15" ht="18.75" hidden="1" x14ac:dyDescent="0.25">
      <c r="B1190" s="4" t="s">
        <v>60</v>
      </c>
      <c r="C1190" s="5" t="s">
        <v>201</v>
      </c>
      <c r="D1190" s="5" t="s">
        <v>76</v>
      </c>
      <c r="E1190" s="5" t="s">
        <v>54</v>
      </c>
      <c r="F1190" s="5" t="s">
        <v>59</v>
      </c>
      <c r="G1190" s="14">
        <v>43158</v>
      </c>
      <c r="H1190" s="5">
        <v>101068055</v>
      </c>
      <c r="I1190" s="14">
        <v>43163</v>
      </c>
      <c r="J1190" s="5">
        <v>7138</v>
      </c>
      <c r="K1190" s="15">
        <v>421.89</v>
      </c>
      <c r="L1190" s="15">
        <v>364.69</v>
      </c>
      <c r="M1190" s="15">
        <v>3011450.82</v>
      </c>
      <c r="N1190" s="15">
        <v>2603157.2200000002</v>
      </c>
      <c r="O1190" s="16">
        <v>408293.59999999963</v>
      </c>
    </row>
    <row r="1191" spans="2:15" ht="18.75" hidden="1" x14ac:dyDescent="0.25">
      <c r="B1191" s="4" t="s">
        <v>51</v>
      </c>
      <c r="C1191" s="5" t="s">
        <v>116</v>
      </c>
      <c r="D1191" s="5" t="s">
        <v>88</v>
      </c>
      <c r="E1191" s="5" t="s">
        <v>54</v>
      </c>
      <c r="F1191" s="5" t="s">
        <v>59</v>
      </c>
      <c r="G1191" s="14">
        <v>40337</v>
      </c>
      <c r="H1191" s="5">
        <v>101068484</v>
      </c>
      <c r="I1191" s="14">
        <v>40337</v>
      </c>
      <c r="J1191" s="5">
        <v>7265</v>
      </c>
      <c r="K1191" s="15">
        <v>152.58000000000001</v>
      </c>
      <c r="L1191" s="15">
        <v>97.44</v>
      </c>
      <c r="M1191" s="15">
        <v>1108493.7000000002</v>
      </c>
      <c r="N1191" s="15">
        <v>707901.6</v>
      </c>
      <c r="O1191" s="16">
        <v>400592.10000000021</v>
      </c>
    </row>
    <row r="1192" spans="2:15" ht="18.75" hidden="1" x14ac:dyDescent="0.25">
      <c r="B1192" s="4" t="s">
        <v>81</v>
      </c>
      <c r="C1192" s="5" t="s">
        <v>117</v>
      </c>
      <c r="D1192" s="5" t="s">
        <v>53</v>
      </c>
      <c r="E1192" s="5" t="s">
        <v>54</v>
      </c>
      <c r="F1192" s="5" t="s">
        <v>63</v>
      </c>
      <c r="G1192" s="14">
        <v>41474</v>
      </c>
      <c r="H1192" s="5">
        <v>101068913</v>
      </c>
      <c r="I1192" s="14">
        <v>41521</v>
      </c>
      <c r="J1192" s="5">
        <v>7392</v>
      </c>
      <c r="K1192" s="15">
        <v>9.33</v>
      </c>
      <c r="L1192" s="15">
        <v>6.92</v>
      </c>
      <c r="M1192" s="15">
        <v>68967.360000000001</v>
      </c>
      <c r="N1192" s="15">
        <v>51152.639999999999</v>
      </c>
      <c r="O1192" s="16">
        <v>17814.72</v>
      </c>
    </row>
    <row r="1193" spans="2:15" ht="18.75" hidden="1" x14ac:dyDescent="0.25">
      <c r="B1193" s="4" t="s">
        <v>74</v>
      </c>
      <c r="C1193" s="5" t="s">
        <v>118</v>
      </c>
      <c r="D1193" s="5" t="s">
        <v>93</v>
      </c>
      <c r="E1193" s="5" t="s">
        <v>54</v>
      </c>
      <c r="F1193" s="5" t="s">
        <v>63</v>
      </c>
      <c r="G1193" s="14">
        <v>42611</v>
      </c>
      <c r="H1193" s="5">
        <v>101069343</v>
      </c>
      <c r="I1193" s="14">
        <v>42653</v>
      </c>
      <c r="J1193" s="5">
        <v>7519</v>
      </c>
      <c r="K1193" s="15">
        <v>81.73</v>
      </c>
      <c r="L1193" s="15">
        <v>56.67</v>
      </c>
      <c r="M1193" s="15">
        <v>614527.87</v>
      </c>
      <c r="N1193" s="15">
        <v>426101.73000000004</v>
      </c>
      <c r="O1193" s="16">
        <v>188426.13999999996</v>
      </c>
    </row>
    <row r="1194" spans="2:15" ht="18.75" hidden="1" x14ac:dyDescent="0.25">
      <c r="B1194" s="4" t="s">
        <v>56</v>
      </c>
      <c r="C1194" s="5" t="s">
        <v>218</v>
      </c>
      <c r="D1194" s="5" t="s">
        <v>96</v>
      </c>
      <c r="E1194" s="5" t="s">
        <v>54</v>
      </c>
      <c r="F1194" s="5" t="s">
        <v>55</v>
      </c>
      <c r="G1194" s="14">
        <v>40927</v>
      </c>
      <c r="H1194" s="5">
        <v>101070201</v>
      </c>
      <c r="I1194" s="14">
        <v>40961</v>
      </c>
      <c r="J1194" s="5">
        <v>7773</v>
      </c>
      <c r="K1194" s="15">
        <v>154.06</v>
      </c>
      <c r="L1194" s="15">
        <v>90.93</v>
      </c>
      <c r="M1194" s="15">
        <v>1197508.3800000001</v>
      </c>
      <c r="N1194" s="15">
        <v>706798.89</v>
      </c>
      <c r="O1194" s="16">
        <v>490709.49000000011</v>
      </c>
    </row>
    <row r="1195" spans="2:15" ht="18.75" hidden="1" x14ac:dyDescent="0.25">
      <c r="B1195" s="4" t="s">
        <v>81</v>
      </c>
      <c r="C1195" s="5" t="s">
        <v>119</v>
      </c>
      <c r="D1195" s="5" t="s">
        <v>100</v>
      </c>
      <c r="E1195" s="5" t="s">
        <v>54</v>
      </c>
      <c r="F1195" s="5" t="s">
        <v>70</v>
      </c>
      <c r="G1195" s="14">
        <v>43201</v>
      </c>
      <c r="H1195" s="5">
        <v>101071059</v>
      </c>
      <c r="I1195" s="14">
        <v>43226</v>
      </c>
      <c r="J1195" s="5">
        <v>8027</v>
      </c>
      <c r="K1195" s="15">
        <v>205.7</v>
      </c>
      <c r="L1195" s="15">
        <v>117.11</v>
      </c>
      <c r="M1195" s="15">
        <v>1651153.9</v>
      </c>
      <c r="N1195" s="15">
        <v>940041.97</v>
      </c>
      <c r="O1195" s="16">
        <v>711111.92999999993</v>
      </c>
    </row>
    <row r="1196" spans="2:15" ht="18.75" hidden="1" x14ac:dyDescent="0.25">
      <c r="B1196" s="4" t="s">
        <v>51</v>
      </c>
      <c r="C1196" s="5" t="s">
        <v>230</v>
      </c>
      <c r="D1196" s="5" t="s">
        <v>88</v>
      </c>
      <c r="E1196" s="5" t="s">
        <v>54</v>
      </c>
      <c r="F1196" s="5" t="s">
        <v>59</v>
      </c>
      <c r="G1196" s="14">
        <v>41517</v>
      </c>
      <c r="H1196" s="5">
        <v>101071918</v>
      </c>
      <c r="I1196" s="14">
        <v>41533</v>
      </c>
      <c r="J1196" s="5">
        <v>8281</v>
      </c>
      <c r="K1196" s="15">
        <v>152.58000000000001</v>
      </c>
      <c r="L1196" s="15">
        <v>97.44</v>
      </c>
      <c r="M1196" s="15">
        <v>1263514.9800000002</v>
      </c>
      <c r="N1196" s="15">
        <v>806900.64</v>
      </c>
      <c r="O1196" s="16">
        <v>456614.3400000002</v>
      </c>
    </row>
    <row r="1197" spans="2:15" ht="18.75" hidden="1" x14ac:dyDescent="0.25">
      <c r="B1197" s="4" t="s">
        <v>81</v>
      </c>
      <c r="C1197" s="5" t="s">
        <v>121</v>
      </c>
      <c r="D1197" s="5" t="s">
        <v>53</v>
      </c>
      <c r="E1197" s="5" t="s">
        <v>54</v>
      </c>
      <c r="F1197" s="5" t="s">
        <v>63</v>
      </c>
      <c r="G1197" s="14">
        <v>42654</v>
      </c>
      <c r="H1197" s="5">
        <v>101072347</v>
      </c>
      <c r="I1197" s="14">
        <v>42666</v>
      </c>
      <c r="J1197" s="5">
        <v>8408</v>
      </c>
      <c r="K1197" s="15">
        <v>9.33</v>
      </c>
      <c r="L1197" s="15">
        <v>6.92</v>
      </c>
      <c r="M1197" s="15">
        <v>78446.64</v>
      </c>
      <c r="N1197" s="15">
        <v>58183.360000000001</v>
      </c>
      <c r="O1197" s="16">
        <v>20263.28</v>
      </c>
    </row>
    <row r="1198" spans="2:15" ht="18.75" hidden="1" x14ac:dyDescent="0.25">
      <c r="B1198" s="4" t="s">
        <v>81</v>
      </c>
      <c r="C1198" s="5" t="s">
        <v>231</v>
      </c>
      <c r="D1198" s="5" t="s">
        <v>96</v>
      </c>
      <c r="E1198" s="5" t="s">
        <v>54</v>
      </c>
      <c r="F1198" s="5" t="s">
        <v>70</v>
      </c>
      <c r="G1198" s="14">
        <v>42107</v>
      </c>
      <c r="H1198" s="5">
        <v>101073634</v>
      </c>
      <c r="I1198" s="14">
        <v>42157</v>
      </c>
      <c r="J1198" s="5">
        <v>8789</v>
      </c>
      <c r="K1198" s="15">
        <v>154.06</v>
      </c>
      <c r="L1198" s="15">
        <v>90.93</v>
      </c>
      <c r="M1198" s="15">
        <v>1354033.34</v>
      </c>
      <c r="N1198" s="15">
        <v>799183.77</v>
      </c>
      <c r="O1198" s="16">
        <v>554849.57000000007</v>
      </c>
    </row>
    <row r="1199" spans="2:15" ht="18.75" hidden="1" x14ac:dyDescent="0.25">
      <c r="B1199" s="4" t="s">
        <v>74</v>
      </c>
      <c r="C1199" s="5" t="s">
        <v>123</v>
      </c>
      <c r="D1199" s="5" t="s">
        <v>68</v>
      </c>
      <c r="E1199" s="5" t="s">
        <v>54</v>
      </c>
      <c r="F1199" s="5" t="s">
        <v>70</v>
      </c>
      <c r="G1199" s="14">
        <v>43245</v>
      </c>
      <c r="H1199" s="5">
        <v>101074063</v>
      </c>
      <c r="I1199" s="14">
        <v>43291</v>
      </c>
      <c r="J1199" s="5">
        <v>8916</v>
      </c>
      <c r="K1199" s="15">
        <v>109.28</v>
      </c>
      <c r="L1199" s="15">
        <v>35.840000000000003</v>
      </c>
      <c r="M1199" s="15">
        <v>974340.48</v>
      </c>
      <c r="N1199" s="15">
        <v>319549.44</v>
      </c>
      <c r="O1199" s="16">
        <v>654791.04</v>
      </c>
    </row>
    <row r="1200" spans="2:15" ht="18.75" hidden="1" x14ac:dyDescent="0.25">
      <c r="B1200" s="4" t="s">
        <v>51</v>
      </c>
      <c r="C1200" s="5" t="s">
        <v>202</v>
      </c>
      <c r="D1200" s="5" t="s">
        <v>88</v>
      </c>
      <c r="E1200" s="5" t="s">
        <v>54</v>
      </c>
      <c r="F1200" s="5" t="s">
        <v>63</v>
      </c>
      <c r="G1200" s="14">
        <v>42698</v>
      </c>
      <c r="H1200" s="5">
        <v>101075351</v>
      </c>
      <c r="I1200" s="14">
        <v>42730</v>
      </c>
      <c r="J1200" s="5">
        <v>9297</v>
      </c>
      <c r="K1200" s="15">
        <v>152.58000000000001</v>
      </c>
      <c r="L1200" s="15">
        <v>97.44</v>
      </c>
      <c r="M1200" s="15">
        <v>1418536.26</v>
      </c>
      <c r="N1200" s="15">
        <v>905899.67999999993</v>
      </c>
      <c r="O1200" s="16">
        <v>512636.58000000007</v>
      </c>
    </row>
    <row r="1201" spans="2:15" ht="18.75" hidden="1" x14ac:dyDescent="0.25">
      <c r="B1201" s="4" t="s">
        <v>56</v>
      </c>
      <c r="C1201" s="5" t="s">
        <v>260</v>
      </c>
      <c r="D1201" s="5" t="s">
        <v>93</v>
      </c>
      <c r="E1201" s="5" t="s">
        <v>54</v>
      </c>
      <c r="F1201" s="5" t="s">
        <v>55</v>
      </c>
      <c r="G1201" s="14">
        <v>41013</v>
      </c>
      <c r="H1201" s="5">
        <v>101076209</v>
      </c>
      <c r="I1201" s="14">
        <v>41037</v>
      </c>
      <c r="J1201" s="5">
        <v>9551</v>
      </c>
      <c r="K1201" s="15">
        <v>81.73</v>
      </c>
      <c r="L1201" s="15">
        <v>56.67</v>
      </c>
      <c r="M1201" s="15">
        <v>780603.23</v>
      </c>
      <c r="N1201" s="15">
        <v>541255.17000000004</v>
      </c>
      <c r="O1201" s="16">
        <v>239348.05999999994</v>
      </c>
    </row>
    <row r="1202" spans="2:15" ht="18.75" hidden="1" x14ac:dyDescent="0.25">
      <c r="B1202" s="4" t="s">
        <v>60</v>
      </c>
      <c r="C1202" s="5" t="s">
        <v>127</v>
      </c>
      <c r="D1202" s="5" t="s">
        <v>68</v>
      </c>
      <c r="E1202" s="5" t="s">
        <v>54</v>
      </c>
      <c r="F1202" s="5" t="s">
        <v>70</v>
      </c>
      <c r="G1202" s="14">
        <v>40466</v>
      </c>
      <c r="H1202" s="5">
        <v>101077497</v>
      </c>
      <c r="I1202" s="14">
        <v>40477</v>
      </c>
      <c r="J1202" s="5">
        <v>9932</v>
      </c>
      <c r="K1202" s="15">
        <v>109.28</v>
      </c>
      <c r="L1202" s="15">
        <v>35.840000000000003</v>
      </c>
      <c r="M1202" s="15">
        <v>1085368.96</v>
      </c>
      <c r="N1202" s="15">
        <v>355962.88000000006</v>
      </c>
      <c r="O1202" s="16">
        <v>729406.07999999984</v>
      </c>
    </row>
    <row r="1203" spans="2:15" ht="18.75" hidden="1" x14ac:dyDescent="0.25">
      <c r="B1203" s="4" t="s">
        <v>81</v>
      </c>
      <c r="C1203" s="5" t="s">
        <v>129</v>
      </c>
      <c r="D1203" s="5" t="s">
        <v>76</v>
      </c>
      <c r="E1203" s="5" t="s">
        <v>54</v>
      </c>
      <c r="F1203" s="5" t="s">
        <v>63</v>
      </c>
      <c r="G1203" s="14">
        <v>42741</v>
      </c>
      <c r="H1203" s="5">
        <v>101078355</v>
      </c>
      <c r="I1203" s="14">
        <v>42743</v>
      </c>
      <c r="J1203" s="5">
        <v>186</v>
      </c>
      <c r="K1203" s="15">
        <v>421.89</v>
      </c>
      <c r="L1203" s="15">
        <v>364.69</v>
      </c>
      <c r="M1203" s="15">
        <v>78471.539999999994</v>
      </c>
      <c r="N1203" s="15">
        <v>67832.34</v>
      </c>
      <c r="O1203" s="16">
        <v>10639.199999999997</v>
      </c>
    </row>
    <row r="1204" spans="2:15" ht="18.75" hidden="1" x14ac:dyDescent="0.25">
      <c r="B1204" s="4" t="s">
        <v>81</v>
      </c>
      <c r="C1204" s="5" t="s">
        <v>133</v>
      </c>
      <c r="D1204" s="5" t="s">
        <v>80</v>
      </c>
      <c r="E1204" s="5" t="s">
        <v>54</v>
      </c>
      <c r="F1204" s="5" t="s">
        <v>55</v>
      </c>
      <c r="G1204" s="14">
        <v>42194</v>
      </c>
      <c r="H1204" s="5">
        <v>101079642</v>
      </c>
      <c r="I1204" s="14">
        <v>42234</v>
      </c>
      <c r="J1204" s="5">
        <v>567</v>
      </c>
      <c r="K1204" s="15">
        <v>668.27</v>
      </c>
      <c r="L1204" s="15">
        <v>502.54</v>
      </c>
      <c r="M1204" s="15">
        <v>378909.08999999997</v>
      </c>
      <c r="N1204" s="15">
        <v>284940.18</v>
      </c>
      <c r="O1204" s="16">
        <v>93968.909999999974</v>
      </c>
    </row>
    <row r="1205" spans="2:15" ht="18.75" hidden="1" x14ac:dyDescent="0.25">
      <c r="B1205" s="4" t="s">
        <v>74</v>
      </c>
      <c r="C1205" s="5" t="s">
        <v>75</v>
      </c>
      <c r="D1205" s="5" t="s">
        <v>58</v>
      </c>
      <c r="E1205" s="5" t="s">
        <v>54</v>
      </c>
      <c r="F1205" s="5" t="s">
        <v>70</v>
      </c>
      <c r="G1205" s="14">
        <v>43331</v>
      </c>
      <c r="H1205" s="5">
        <v>101080071</v>
      </c>
      <c r="I1205" s="14">
        <v>43367</v>
      </c>
      <c r="J1205" s="5">
        <v>694</v>
      </c>
      <c r="K1205" s="15">
        <v>255.28</v>
      </c>
      <c r="L1205" s="15">
        <v>159.41999999999999</v>
      </c>
      <c r="M1205" s="15">
        <v>177164.32</v>
      </c>
      <c r="N1205" s="15">
        <v>110637.48</v>
      </c>
      <c r="O1205" s="16">
        <v>66526.840000000011</v>
      </c>
    </row>
    <row r="1206" spans="2:15" ht="18.75" hidden="1" x14ac:dyDescent="0.25">
      <c r="B1206" s="4" t="s">
        <v>56</v>
      </c>
      <c r="C1206" s="5" t="s">
        <v>135</v>
      </c>
      <c r="D1206" s="5" t="s">
        <v>68</v>
      </c>
      <c r="E1206" s="5" t="s">
        <v>54</v>
      </c>
      <c r="F1206" s="5" t="s">
        <v>59</v>
      </c>
      <c r="G1206" s="14">
        <v>41647</v>
      </c>
      <c r="H1206" s="5">
        <v>101080930</v>
      </c>
      <c r="I1206" s="14">
        <v>41674</v>
      </c>
      <c r="J1206" s="5">
        <v>948</v>
      </c>
      <c r="K1206" s="15">
        <v>109.28</v>
      </c>
      <c r="L1206" s="15">
        <v>35.840000000000003</v>
      </c>
      <c r="M1206" s="15">
        <v>103597.44</v>
      </c>
      <c r="N1206" s="15">
        <v>33976.32</v>
      </c>
      <c r="O1206" s="16">
        <v>69621.119999999995</v>
      </c>
    </row>
    <row r="1207" spans="2:15" ht="18.75" hidden="1" x14ac:dyDescent="0.25">
      <c r="B1207" s="4" t="s">
        <v>51</v>
      </c>
      <c r="C1207" s="5" t="s">
        <v>136</v>
      </c>
      <c r="D1207" s="5" t="s">
        <v>62</v>
      </c>
      <c r="E1207" s="5" t="s">
        <v>54</v>
      </c>
      <c r="F1207" s="5" t="s">
        <v>59</v>
      </c>
      <c r="G1207" s="14">
        <v>42784</v>
      </c>
      <c r="H1207" s="5">
        <v>101081359</v>
      </c>
      <c r="I1207" s="14">
        <v>42806</v>
      </c>
      <c r="J1207" s="5">
        <v>1075</v>
      </c>
      <c r="K1207" s="15">
        <v>437.2</v>
      </c>
      <c r="L1207" s="15">
        <v>263.33</v>
      </c>
      <c r="M1207" s="15">
        <v>469990</v>
      </c>
      <c r="N1207" s="15">
        <v>283079.75</v>
      </c>
      <c r="O1207" s="16">
        <v>186910.25</v>
      </c>
    </row>
    <row r="1208" spans="2:15" ht="18.75" x14ac:dyDescent="0.25">
      <c r="B1208" s="4" t="s">
        <v>81</v>
      </c>
      <c r="C1208" s="5" t="s">
        <v>82</v>
      </c>
      <c r="D1208" s="5" t="s">
        <v>76</v>
      </c>
      <c r="E1208" s="5" t="s">
        <v>54</v>
      </c>
      <c r="F1208" s="5" t="s">
        <v>63</v>
      </c>
      <c r="G1208" s="14">
        <v>43921</v>
      </c>
      <c r="H1208" s="5">
        <v>101081788</v>
      </c>
      <c r="I1208" s="14">
        <v>43939</v>
      </c>
      <c r="J1208" s="5">
        <v>1202</v>
      </c>
      <c r="K1208" s="15">
        <v>421.89</v>
      </c>
      <c r="L1208" s="15">
        <v>364.69</v>
      </c>
      <c r="M1208" s="15">
        <v>507111.77999999997</v>
      </c>
      <c r="N1208" s="15">
        <v>438357.38</v>
      </c>
      <c r="O1208" s="16">
        <v>68754.399999999965</v>
      </c>
    </row>
    <row r="1209" spans="2:15" ht="18.75" hidden="1" x14ac:dyDescent="0.25">
      <c r="B1209" s="4" t="s">
        <v>81</v>
      </c>
      <c r="C1209" s="5" t="s">
        <v>138</v>
      </c>
      <c r="D1209" s="5" t="s">
        <v>80</v>
      </c>
      <c r="E1209" s="5" t="s">
        <v>54</v>
      </c>
      <c r="F1209" s="5" t="s">
        <v>70</v>
      </c>
      <c r="G1209" s="14">
        <v>43374</v>
      </c>
      <c r="H1209" s="5">
        <v>101083076</v>
      </c>
      <c r="I1209" s="14">
        <v>43379</v>
      </c>
      <c r="J1209" s="5">
        <v>1583</v>
      </c>
      <c r="K1209" s="15">
        <v>668.27</v>
      </c>
      <c r="L1209" s="15">
        <v>502.54</v>
      </c>
      <c r="M1209" s="15">
        <v>1057871.4099999999</v>
      </c>
      <c r="N1209" s="15">
        <v>795520.82000000007</v>
      </c>
      <c r="O1209" s="16">
        <v>262350.58999999985</v>
      </c>
    </row>
    <row r="1210" spans="2:15" ht="18.75" hidden="1" x14ac:dyDescent="0.25">
      <c r="B1210" s="4" t="s">
        <v>51</v>
      </c>
      <c r="C1210" s="5" t="s">
        <v>233</v>
      </c>
      <c r="D1210" s="5" t="s">
        <v>65</v>
      </c>
      <c r="E1210" s="5" t="s">
        <v>54</v>
      </c>
      <c r="F1210" s="5" t="s">
        <v>59</v>
      </c>
      <c r="G1210" s="14">
        <v>41690</v>
      </c>
      <c r="H1210" s="5">
        <v>101083934</v>
      </c>
      <c r="I1210" s="14">
        <v>41737</v>
      </c>
      <c r="J1210" s="5">
        <v>1837</v>
      </c>
      <c r="K1210" s="15">
        <v>651.21</v>
      </c>
      <c r="L1210" s="15">
        <v>524.96</v>
      </c>
      <c r="M1210" s="15">
        <v>1196272.77</v>
      </c>
      <c r="N1210" s="15">
        <v>964351.52</v>
      </c>
      <c r="O1210" s="16">
        <v>231921.25</v>
      </c>
    </row>
    <row r="1211" spans="2:15" ht="18.75" hidden="1" x14ac:dyDescent="0.25">
      <c r="B1211" s="4" t="s">
        <v>81</v>
      </c>
      <c r="C1211" s="5" t="s">
        <v>140</v>
      </c>
      <c r="D1211" s="5" t="s">
        <v>68</v>
      </c>
      <c r="E1211" s="5" t="s">
        <v>54</v>
      </c>
      <c r="F1211" s="5" t="s">
        <v>59</v>
      </c>
      <c r="G1211" s="14">
        <v>42827</v>
      </c>
      <c r="H1211" s="5">
        <v>101084363</v>
      </c>
      <c r="I1211" s="14">
        <v>42870</v>
      </c>
      <c r="J1211" s="5">
        <v>1964</v>
      </c>
      <c r="K1211" s="15">
        <v>109.28</v>
      </c>
      <c r="L1211" s="15">
        <v>35.840000000000003</v>
      </c>
      <c r="M1211" s="15">
        <v>214625.92000000001</v>
      </c>
      <c r="N1211" s="15">
        <v>70389.760000000009</v>
      </c>
      <c r="O1211" s="16">
        <v>144236.16</v>
      </c>
    </row>
    <row r="1212" spans="2:15" ht="18.75" hidden="1" x14ac:dyDescent="0.25">
      <c r="B1212" s="4" t="s">
        <v>72</v>
      </c>
      <c r="C1212" s="5" t="s">
        <v>175</v>
      </c>
      <c r="D1212" s="5" t="s">
        <v>76</v>
      </c>
      <c r="E1212" s="5" t="s">
        <v>54</v>
      </c>
      <c r="F1212" s="5" t="s">
        <v>63</v>
      </c>
      <c r="G1212" s="14">
        <v>41143</v>
      </c>
      <c r="H1212" s="5">
        <v>101085221</v>
      </c>
      <c r="I1212" s="14">
        <v>41177</v>
      </c>
      <c r="J1212" s="5">
        <v>2218</v>
      </c>
      <c r="K1212" s="15">
        <v>421.89</v>
      </c>
      <c r="L1212" s="15">
        <v>364.69</v>
      </c>
      <c r="M1212" s="15">
        <v>935752.02</v>
      </c>
      <c r="N1212" s="15">
        <v>808882.42</v>
      </c>
      <c r="O1212" s="16">
        <v>126869.59999999998</v>
      </c>
    </row>
    <row r="1213" spans="2:15" ht="18.75" hidden="1" x14ac:dyDescent="0.25">
      <c r="B1213" s="4" t="s">
        <v>56</v>
      </c>
      <c r="C1213" s="5" t="s">
        <v>203</v>
      </c>
      <c r="D1213" s="5" t="s">
        <v>78</v>
      </c>
      <c r="E1213" s="5" t="s">
        <v>54</v>
      </c>
      <c r="F1213" s="5" t="s">
        <v>55</v>
      </c>
      <c r="G1213" s="14">
        <v>42280</v>
      </c>
      <c r="H1213" s="5">
        <v>101085650</v>
      </c>
      <c r="I1213" s="14">
        <v>42310</v>
      </c>
      <c r="J1213" s="5">
        <v>2345</v>
      </c>
      <c r="K1213" s="15">
        <v>47.45</v>
      </c>
      <c r="L1213" s="15">
        <v>31.79</v>
      </c>
      <c r="M1213" s="15">
        <v>111270.25</v>
      </c>
      <c r="N1213" s="15">
        <v>74547.55</v>
      </c>
      <c r="O1213" s="16">
        <v>36722.699999999997</v>
      </c>
    </row>
    <row r="1214" spans="2:15" ht="18.75" hidden="1" x14ac:dyDescent="0.25">
      <c r="B1214" s="4" t="s">
        <v>56</v>
      </c>
      <c r="C1214" s="5" t="s">
        <v>57</v>
      </c>
      <c r="D1214" s="5" t="s">
        <v>58</v>
      </c>
      <c r="E1214" s="5" t="s">
        <v>54</v>
      </c>
      <c r="F1214" s="5" t="s">
        <v>70</v>
      </c>
      <c r="G1214" s="14">
        <v>41733</v>
      </c>
      <c r="H1214" s="5">
        <v>101086938</v>
      </c>
      <c r="I1214" s="14">
        <v>41750</v>
      </c>
      <c r="J1214" s="5">
        <v>2726</v>
      </c>
      <c r="K1214" s="15">
        <v>255.28</v>
      </c>
      <c r="L1214" s="15">
        <v>159.41999999999999</v>
      </c>
      <c r="M1214" s="15">
        <v>695893.28</v>
      </c>
      <c r="N1214" s="15">
        <v>434578.92</v>
      </c>
      <c r="O1214" s="16">
        <v>261314.36000000004</v>
      </c>
    </row>
    <row r="1215" spans="2:15" ht="18.75" hidden="1" x14ac:dyDescent="0.25">
      <c r="B1215" s="4" t="s">
        <v>51</v>
      </c>
      <c r="C1215" s="5" t="s">
        <v>144</v>
      </c>
      <c r="D1215" s="5" t="s">
        <v>65</v>
      </c>
      <c r="E1215" s="5" t="s">
        <v>54</v>
      </c>
      <c r="F1215" s="5" t="s">
        <v>59</v>
      </c>
      <c r="G1215" s="14">
        <v>42870</v>
      </c>
      <c r="H1215" s="5">
        <v>101087367</v>
      </c>
      <c r="I1215" s="14">
        <v>42882</v>
      </c>
      <c r="J1215" s="5">
        <v>2853</v>
      </c>
      <c r="K1215" s="15">
        <v>651.21</v>
      </c>
      <c r="L1215" s="15">
        <v>524.96</v>
      </c>
      <c r="M1215" s="15">
        <v>1857902.1300000001</v>
      </c>
      <c r="N1215" s="15">
        <v>1497710.8800000001</v>
      </c>
      <c r="O1215" s="16">
        <v>360191.25</v>
      </c>
    </row>
    <row r="1216" spans="2:15" ht="18.75" hidden="1" x14ac:dyDescent="0.25">
      <c r="B1216" s="4" t="s">
        <v>60</v>
      </c>
      <c r="C1216" s="5" t="s">
        <v>146</v>
      </c>
      <c r="D1216" s="5" t="s">
        <v>62</v>
      </c>
      <c r="E1216" s="5" t="s">
        <v>54</v>
      </c>
      <c r="F1216" s="5" t="s">
        <v>63</v>
      </c>
      <c r="G1216" s="14">
        <v>41186</v>
      </c>
      <c r="H1216" s="5">
        <v>101088225</v>
      </c>
      <c r="I1216" s="14">
        <v>41190</v>
      </c>
      <c r="J1216" s="5">
        <v>3107</v>
      </c>
      <c r="K1216" s="15">
        <v>437.2</v>
      </c>
      <c r="L1216" s="15">
        <v>263.33</v>
      </c>
      <c r="M1216" s="15">
        <v>1358380.4</v>
      </c>
      <c r="N1216" s="15">
        <v>818166.30999999994</v>
      </c>
      <c r="O1216" s="16">
        <v>540214.09</v>
      </c>
    </row>
    <row r="1217" spans="2:15" ht="18.75" hidden="1" x14ac:dyDescent="0.25">
      <c r="B1217" s="4" t="s">
        <v>51</v>
      </c>
      <c r="C1217" s="5" t="s">
        <v>177</v>
      </c>
      <c r="D1217" s="5" t="s">
        <v>76</v>
      </c>
      <c r="E1217" s="5" t="s">
        <v>54</v>
      </c>
      <c r="F1217" s="5" t="s">
        <v>55</v>
      </c>
      <c r="G1217" s="14">
        <v>42323</v>
      </c>
      <c r="H1217" s="5">
        <v>101088654</v>
      </c>
      <c r="I1217" s="14">
        <v>42373</v>
      </c>
      <c r="J1217" s="5">
        <v>3234</v>
      </c>
      <c r="K1217" s="15">
        <v>421.89</v>
      </c>
      <c r="L1217" s="15">
        <v>364.69</v>
      </c>
      <c r="M1217" s="15">
        <v>1364392.26</v>
      </c>
      <c r="N1217" s="15">
        <v>1179407.46</v>
      </c>
      <c r="O1217" s="16">
        <v>184984.80000000005</v>
      </c>
    </row>
    <row r="1218" spans="2:15" ht="18.75" hidden="1" x14ac:dyDescent="0.25">
      <c r="B1218" s="4" t="s">
        <v>72</v>
      </c>
      <c r="C1218" s="5" t="s">
        <v>223</v>
      </c>
      <c r="D1218" s="5" t="s">
        <v>80</v>
      </c>
      <c r="E1218" s="5" t="s">
        <v>54</v>
      </c>
      <c r="F1218" s="5" t="s">
        <v>70</v>
      </c>
      <c r="G1218" s="14">
        <v>41776</v>
      </c>
      <c r="H1218" s="5">
        <v>101089942</v>
      </c>
      <c r="I1218" s="14">
        <v>41813</v>
      </c>
      <c r="J1218" s="5">
        <v>3615</v>
      </c>
      <c r="K1218" s="15">
        <v>668.27</v>
      </c>
      <c r="L1218" s="15">
        <v>502.54</v>
      </c>
      <c r="M1218" s="15">
        <v>2415796.0499999998</v>
      </c>
      <c r="N1218" s="15">
        <v>1816682.1</v>
      </c>
      <c r="O1218" s="16">
        <v>599113.94999999972</v>
      </c>
    </row>
    <row r="1219" spans="2:15" ht="18.75" hidden="1" x14ac:dyDescent="0.25">
      <c r="B1219" s="4" t="s">
        <v>56</v>
      </c>
      <c r="C1219" s="5" t="s">
        <v>257</v>
      </c>
      <c r="D1219" s="5" t="s">
        <v>58</v>
      </c>
      <c r="E1219" s="5" t="s">
        <v>54</v>
      </c>
      <c r="F1219" s="5" t="s">
        <v>59</v>
      </c>
      <c r="G1219" s="14">
        <v>42913</v>
      </c>
      <c r="H1219" s="5">
        <v>101090371</v>
      </c>
      <c r="I1219" s="14">
        <v>42946</v>
      </c>
      <c r="J1219" s="5">
        <v>3742</v>
      </c>
      <c r="K1219" s="15">
        <v>255.28</v>
      </c>
      <c r="L1219" s="15">
        <v>159.41999999999999</v>
      </c>
      <c r="M1219" s="15">
        <v>955257.76</v>
      </c>
      <c r="N1219" s="15">
        <v>596549.6399999999</v>
      </c>
      <c r="O1219" s="16">
        <v>358708.12000000011</v>
      </c>
    </row>
    <row r="1220" spans="2:15" ht="18.75" x14ac:dyDescent="0.25">
      <c r="B1220" s="4" t="s">
        <v>51</v>
      </c>
      <c r="C1220" s="5" t="s">
        <v>94</v>
      </c>
      <c r="D1220" s="5" t="s">
        <v>65</v>
      </c>
      <c r="E1220" s="5" t="s">
        <v>54</v>
      </c>
      <c r="F1220" s="5" t="s">
        <v>59</v>
      </c>
      <c r="G1220" s="14">
        <v>44051</v>
      </c>
      <c r="H1220" s="5">
        <v>101090800</v>
      </c>
      <c r="I1220" s="14">
        <v>44080</v>
      </c>
      <c r="J1220" s="5">
        <v>3869</v>
      </c>
      <c r="K1220" s="15">
        <v>651.21</v>
      </c>
      <c r="L1220" s="15">
        <v>524.96</v>
      </c>
      <c r="M1220" s="15">
        <v>2519531.4900000002</v>
      </c>
      <c r="N1220" s="15">
        <v>2031070.2400000002</v>
      </c>
      <c r="O1220" s="16">
        <v>488461.25</v>
      </c>
    </row>
    <row r="1221" spans="2:15" ht="18.75" hidden="1" x14ac:dyDescent="0.25">
      <c r="B1221" s="4" t="s">
        <v>66</v>
      </c>
      <c r="C1221" s="5" t="s">
        <v>206</v>
      </c>
      <c r="D1221" s="5" t="s">
        <v>68</v>
      </c>
      <c r="E1221" s="5" t="s">
        <v>54</v>
      </c>
      <c r="F1221" s="5" t="s">
        <v>63</v>
      </c>
      <c r="G1221" s="14">
        <v>41229</v>
      </c>
      <c r="H1221" s="5">
        <v>101091229</v>
      </c>
      <c r="I1221" s="14">
        <v>41253</v>
      </c>
      <c r="J1221" s="5">
        <v>3996</v>
      </c>
      <c r="K1221" s="15">
        <v>109.28</v>
      </c>
      <c r="L1221" s="15">
        <v>35.840000000000003</v>
      </c>
      <c r="M1221" s="15">
        <v>436682.88</v>
      </c>
      <c r="N1221" s="15">
        <v>143216.64000000001</v>
      </c>
      <c r="O1221" s="16">
        <v>293466.23999999999</v>
      </c>
    </row>
    <row r="1222" spans="2:15" ht="18.75" hidden="1" x14ac:dyDescent="0.25">
      <c r="B1222" s="4" t="s">
        <v>51</v>
      </c>
      <c r="C1222" s="5" t="s">
        <v>208</v>
      </c>
      <c r="D1222" s="5" t="s">
        <v>76</v>
      </c>
      <c r="E1222" s="5" t="s">
        <v>54</v>
      </c>
      <c r="F1222" s="5" t="s">
        <v>55</v>
      </c>
      <c r="G1222" s="14">
        <v>43504</v>
      </c>
      <c r="H1222" s="5">
        <v>101092088</v>
      </c>
      <c r="I1222" s="14">
        <v>43519</v>
      </c>
      <c r="J1222" s="5">
        <v>4250</v>
      </c>
      <c r="K1222" s="15">
        <v>421.89</v>
      </c>
      <c r="L1222" s="15">
        <v>364.69</v>
      </c>
      <c r="M1222" s="15">
        <v>1793032.5</v>
      </c>
      <c r="N1222" s="15">
        <v>1549932.5</v>
      </c>
      <c r="O1222" s="16">
        <v>243100</v>
      </c>
    </row>
    <row r="1223" spans="2:15" ht="18.75" hidden="1" x14ac:dyDescent="0.25">
      <c r="B1223" s="4" t="s">
        <v>81</v>
      </c>
      <c r="C1223" s="5" t="s">
        <v>148</v>
      </c>
      <c r="D1223" s="5" t="s">
        <v>78</v>
      </c>
      <c r="E1223" s="5" t="s">
        <v>54</v>
      </c>
      <c r="F1223" s="5" t="s">
        <v>70</v>
      </c>
      <c r="G1223" s="14">
        <v>40682</v>
      </c>
      <c r="H1223" s="5">
        <v>101092517</v>
      </c>
      <c r="I1223" s="14">
        <v>40693</v>
      </c>
      <c r="J1223" s="5">
        <v>4377</v>
      </c>
      <c r="K1223" s="15">
        <v>47.45</v>
      </c>
      <c r="L1223" s="15">
        <v>31.79</v>
      </c>
      <c r="M1223" s="15">
        <v>207688.65000000002</v>
      </c>
      <c r="N1223" s="15">
        <v>139144.82999999999</v>
      </c>
      <c r="O1223" s="16">
        <v>68543.820000000036</v>
      </c>
    </row>
    <row r="1224" spans="2:15" ht="18.75" hidden="1" x14ac:dyDescent="0.25">
      <c r="B1224" s="4" t="s">
        <v>60</v>
      </c>
      <c r="C1224" s="5" t="s">
        <v>248</v>
      </c>
      <c r="D1224" s="5" t="s">
        <v>53</v>
      </c>
      <c r="E1224" s="5" t="s">
        <v>54</v>
      </c>
      <c r="F1224" s="5" t="s">
        <v>70</v>
      </c>
      <c r="G1224" s="14">
        <v>41819</v>
      </c>
      <c r="H1224" s="5">
        <v>101092946</v>
      </c>
      <c r="I1224" s="14">
        <v>41826</v>
      </c>
      <c r="J1224" s="5">
        <v>4504</v>
      </c>
      <c r="K1224" s="15">
        <v>9.33</v>
      </c>
      <c r="L1224" s="15">
        <v>6.92</v>
      </c>
      <c r="M1224" s="15">
        <v>42022.32</v>
      </c>
      <c r="N1224" s="15">
        <v>31167.68</v>
      </c>
      <c r="O1224" s="16">
        <v>10854.64</v>
      </c>
    </row>
    <row r="1225" spans="2:15" ht="18.75" x14ac:dyDescent="0.25">
      <c r="B1225" s="4" t="s">
        <v>81</v>
      </c>
      <c r="C1225" s="5" t="s">
        <v>180</v>
      </c>
      <c r="D1225" s="5" t="s">
        <v>58</v>
      </c>
      <c r="E1225" s="5" t="s">
        <v>54</v>
      </c>
      <c r="F1225" s="5" t="s">
        <v>59</v>
      </c>
      <c r="G1225" s="14">
        <v>44094</v>
      </c>
      <c r="H1225" s="5">
        <v>101093804</v>
      </c>
      <c r="I1225" s="14">
        <v>44143</v>
      </c>
      <c r="J1225" s="5">
        <v>4758</v>
      </c>
      <c r="K1225" s="15">
        <v>255.28</v>
      </c>
      <c r="L1225" s="15">
        <v>159.41999999999999</v>
      </c>
      <c r="M1225" s="15">
        <v>1214622.24</v>
      </c>
      <c r="N1225" s="15">
        <v>758520.36</v>
      </c>
      <c r="O1225" s="16">
        <v>456101.88</v>
      </c>
    </row>
    <row r="1226" spans="2:15" ht="18.75" hidden="1" x14ac:dyDescent="0.25">
      <c r="B1226" s="4" t="s">
        <v>72</v>
      </c>
      <c r="C1226" s="5" t="s">
        <v>209</v>
      </c>
      <c r="D1226" s="5" t="s">
        <v>68</v>
      </c>
      <c r="E1226" s="5" t="s">
        <v>54</v>
      </c>
      <c r="F1226" s="5" t="s">
        <v>63</v>
      </c>
      <c r="G1226" s="14">
        <v>42410</v>
      </c>
      <c r="H1226" s="5">
        <v>101094663</v>
      </c>
      <c r="I1226" s="14">
        <v>42450</v>
      </c>
      <c r="J1226" s="5">
        <v>5012</v>
      </c>
      <c r="K1226" s="15">
        <v>109.28</v>
      </c>
      <c r="L1226" s="15">
        <v>35.840000000000003</v>
      </c>
      <c r="M1226" s="15">
        <v>547711.36</v>
      </c>
      <c r="N1226" s="15">
        <v>179630.08000000002</v>
      </c>
      <c r="O1226" s="16">
        <v>368081.27999999997</v>
      </c>
    </row>
    <row r="1227" spans="2:15" ht="18.75" hidden="1" x14ac:dyDescent="0.25">
      <c r="B1227" s="4" t="s">
        <v>56</v>
      </c>
      <c r="C1227" s="5" t="s">
        <v>235</v>
      </c>
      <c r="D1227" s="5" t="s">
        <v>53</v>
      </c>
      <c r="E1227" s="5" t="s">
        <v>54</v>
      </c>
      <c r="F1227" s="5" t="s">
        <v>70</v>
      </c>
      <c r="G1227" s="14">
        <v>43000</v>
      </c>
      <c r="H1227" s="5">
        <v>101096379</v>
      </c>
      <c r="I1227" s="14">
        <v>43023</v>
      </c>
      <c r="J1227" s="5">
        <v>5520</v>
      </c>
      <c r="K1227" s="15">
        <v>9.33</v>
      </c>
      <c r="L1227" s="15">
        <v>6.92</v>
      </c>
      <c r="M1227" s="15">
        <v>51501.599999999999</v>
      </c>
      <c r="N1227" s="15">
        <v>38198.400000000001</v>
      </c>
      <c r="O1227" s="16">
        <v>13303.199999999997</v>
      </c>
    </row>
    <row r="1228" spans="2:15" ht="18.75" hidden="1" x14ac:dyDescent="0.25">
      <c r="B1228" s="4" t="s">
        <v>60</v>
      </c>
      <c r="C1228" s="5" t="s">
        <v>184</v>
      </c>
      <c r="D1228" s="5" t="s">
        <v>65</v>
      </c>
      <c r="E1228" s="5" t="s">
        <v>54</v>
      </c>
      <c r="F1228" s="5" t="s">
        <v>63</v>
      </c>
      <c r="G1228" s="14">
        <v>42453</v>
      </c>
      <c r="H1228" s="5">
        <v>101097667</v>
      </c>
      <c r="I1228" s="14">
        <v>42463</v>
      </c>
      <c r="J1228" s="5">
        <v>5901</v>
      </c>
      <c r="K1228" s="15">
        <v>651.21</v>
      </c>
      <c r="L1228" s="15">
        <v>524.96</v>
      </c>
      <c r="M1228" s="15">
        <v>3842790.2100000004</v>
      </c>
      <c r="N1228" s="15">
        <v>3097788.9600000004</v>
      </c>
      <c r="O1228" s="16">
        <v>745001.25</v>
      </c>
    </row>
    <row r="1229" spans="2:15" ht="18.75" hidden="1" x14ac:dyDescent="0.25">
      <c r="B1229" s="4" t="s">
        <v>51</v>
      </c>
      <c r="C1229" s="5" t="s">
        <v>153</v>
      </c>
      <c r="D1229" s="5" t="s">
        <v>88</v>
      </c>
      <c r="E1229" s="5" t="s">
        <v>54</v>
      </c>
      <c r="F1229" s="5" t="s">
        <v>55</v>
      </c>
      <c r="G1229" s="14">
        <v>43590</v>
      </c>
      <c r="H1229" s="5">
        <v>101098096</v>
      </c>
      <c r="I1229" s="14">
        <v>43595</v>
      </c>
      <c r="J1229" s="5">
        <v>6028</v>
      </c>
      <c r="K1229" s="15">
        <v>152.58000000000001</v>
      </c>
      <c r="L1229" s="15">
        <v>97.44</v>
      </c>
      <c r="M1229" s="15">
        <v>919752.24000000011</v>
      </c>
      <c r="N1229" s="15">
        <v>587368.31999999995</v>
      </c>
      <c r="O1229" s="16">
        <v>332383.92000000016</v>
      </c>
    </row>
    <row r="1230" spans="2:15" ht="18.75" hidden="1" x14ac:dyDescent="0.25">
      <c r="B1230" s="4" t="s">
        <v>81</v>
      </c>
      <c r="C1230" s="5" t="s">
        <v>210</v>
      </c>
      <c r="D1230" s="5" t="s">
        <v>62</v>
      </c>
      <c r="E1230" s="5" t="s">
        <v>54</v>
      </c>
      <c r="F1230" s="5" t="s">
        <v>55</v>
      </c>
      <c r="G1230" s="14">
        <v>40768</v>
      </c>
      <c r="H1230" s="5">
        <v>101098525</v>
      </c>
      <c r="I1230" s="14">
        <v>40769</v>
      </c>
      <c r="J1230" s="5">
        <v>6155</v>
      </c>
      <c r="K1230" s="15">
        <v>437.2</v>
      </c>
      <c r="L1230" s="15">
        <v>263.33</v>
      </c>
      <c r="M1230" s="15">
        <v>2690966</v>
      </c>
      <c r="N1230" s="15">
        <v>1620796.15</v>
      </c>
      <c r="O1230" s="16">
        <v>1070169.8500000001</v>
      </c>
    </row>
    <row r="1231" spans="2:15" ht="18.75" hidden="1" x14ac:dyDescent="0.25">
      <c r="B1231" s="4" t="s">
        <v>74</v>
      </c>
      <c r="C1231" s="5" t="s">
        <v>155</v>
      </c>
      <c r="D1231" s="5" t="s">
        <v>80</v>
      </c>
      <c r="E1231" s="5" t="s">
        <v>54</v>
      </c>
      <c r="F1231" s="5" t="s">
        <v>59</v>
      </c>
      <c r="G1231" s="14">
        <v>41359</v>
      </c>
      <c r="H1231" s="5">
        <v>101100242</v>
      </c>
      <c r="I1231" s="14">
        <v>41394</v>
      </c>
      <c r="J1231" s="5">
        <v>6663</v>
      </c>
      <c r="K1231" s="15">
        <v>668.27</v>
      </c>
      <c r="L1231" s="15">
        <v>502.54</v>
      </c>
      <c r="M1231" s="15">
        <v>4452683.01</v>
      </c>
      <c r="N1231" s="15">
        <v>3348424.02</v>
      </c>
      <c r="O1231" s="16">
        <v>1104258.9899999998</v>
      </c>
    </row>
    <row r="1232" spans="2:15" ht="18.75" hidden="1" x14ac:dyDescent="0.25">
      <c r="B1232" s="4" t="s">
        <v>51</v>
      </c>
      <c r="C1232" s="5" t="s">
        <v>236</v>
      </c>
      <c r="D1232" s="5" t="s">
        <v>88</v>
      </c>
      <c r="E1232" s="5" t="s">
        <v>54</v>
      </c>
      <c r="F1232" s="5" t="s">
        <v>55</v>
      </c>
      <c r="G1232" s="14">
        <v>40811</v>
      </c>
      <c r="H1232" s="5">
        <v>101101529</v>
      </c>
      <c r="I1232" s="14">
        <v>40833</v>
      </c>
      <c r="J1232" s="5">
        <v>7044</v>
      </c>
      <c r="K1232" s="15">
        <v>152.58000000000001</v>
      </c>
      <c r="L1232" s="15">
        <v>97.44</v>
      </c>
      <c r="M1232" s="15">
        <v>1074773.52</v>
      </c>
      <c r="N1232" s="15">
        <v>686367.36</v>
      </c>
      <c r="O1232" s="16">
        <v>388406.16000000003</v>
      </c>
    </row>
    <row r="1233" spans="2:15" ht="18.75" hidden="1" x14ac:dyDescent="0.25">
      <c r="B1233" s="4" t="s">
        <v>56</v>
      </c>
      <c r="C1233" s="5" t="s">
        <v>156</v>
      </c>
      <c r="D1233" s="5" t="s">
        <v>93</v>
      </c>
      <c r="E1233" s="5" t="s">
        <v>54</v>
      </c>
      <c r="F1233" s="5" t="s">
        <v>70</v>
      </c>
      <c r="G1233" s="14">
        <v>43086</v>
      </c>
      <c r="H1233" s="5">
        <v>101102387</v>
      </c>
      <c r="I1233" s="14">
        <v>43099</v>
      </c>
      <c r="J1233" s="5">
        <v>7298</v>
      </c>
      <c r="K1233" s="15">
        <v>81.73</v>
      </c>
      <c r="L1233" s="15">
        <v>56.67</v>
      </c>
      <c r="M1233" s="15">
        <v>596465.54</v>
      </c>
      <c r="N1233" s="15">
        <v>413577.66000000003</v>
      </c>
      <c r="O1233" s="16">
        <v>182887.88</v>
      </c>
    </row>
    <row r="1234" spans="2:15" ht="18.75" hidden="1" x14ac:dyDescent="0.25">
      <c r="B1234" s="4" t="s">
        <v>81</v>
      </c>
      <c r="C1234" s="5" t="s">
        <v>157</v>
      </c>
      <c r="D1234" s="5" t="s">
        <v>96</v>
      </c>
      <c r="E1234" s="5" t="s">
        <v>54</v>
      </c>
      <c r="F1234" s="5" t="s">
        <v>59</v>
      </c>
      <c r="G1234" s="14">
        <v>41402</v>
      </c>
      <c r="H1234" s="5">
        <v>101103246</v>
      </c>
      <c r="I1234" s="14">
        <v>41406</v>
      </c>
      <c r="J1234" s="5">
        <v>7552</v>
      </c>
      <c r="K1234" s="15">
        <v>154.06</v>
      </c>
      <c r="L1234" s="15">
        <v>90.93</v>
      </c>
      <c r="M1234" s="15">
        <v>1163461.1200000001</v>
      </c>
      <c r="N1234" s="15">
        <v>686703.3600000001</v>
      </c>
      <c r="O1234" s="16">
        <v>476757.76000000001</v>
      </c>
    </row>
    <row r="1235" spans="2:15" ht="18.75" hidden="1" x14ac:dyDescent="0.25">
      <c r="B1235" s="4" t="s">
        <v>81</v>
      </c>
      <c r="C1235" s="5" t="s">
        <v>242</v>
      </c>
      <c r="D1235" s="5" t="s">
        <v>65</v>
      </c>
      <c r="E1235" s="5" t="s">
        <v>54</v>
      </c>
      <c r="F1235" s="5" t="s">
        <v>55</v>
      </c>
      <c r="G1235" s="14">
        <v>40855</v>
      </c>
      <c r="H1235" s="5">
        <v>101104533</v>
      </c>
      <c r="I1235" s="14">
        <v>40897</v>
      </c>
      <c r="J1235" s="5">
        <v>7933</v>
      </c>
      <c r="K1235" s="15">
        <v>651.21</v>
      </c>
      <c r="L1235" s="15">
        <v>524.96</v>
      </c>
      <c r="M1235" s="15">
        <v>5166048.9300000006</v>
      </c>
      <c r="N1235" s="15">
        <v>4164507.68</v>
      </c>
      <c r="O1235" s="16">
        <v>1001541.2500000005</v>
      </c>
    </row>
    <row r="1236" spans="2:15" ht="18.75" hidden="1" x14ac:dyDescent="0.25">
      <c r="B1236" s="4" t="s">
        <v>72</v>
      </c>
      <c r="C1236" s="5" t="s">
        <v>214</v>
      </c>
      <c r="D1236" s="5" t="s">
        <v>62</v>
      </c>
      <c r="E1236" s="5" t="s">
        <v>54</v>
      </c>
      <c r="F1236" s="5" t="s">
        <v>70</v>
      </c>
      <c r="G1236" s="14">
        <v>43129</v>
      </c>
      <c r="H1236" s="5">
        <v>101105391</v>
      </c>
      <c r="I1236" s="14">
        <v>43162</v>
      </c>
      <c r="J1236" s="5">
        <v>8187</v>
      </c>
      <c r="K1236" s="15">
        <v>437.2</v>
      </c>
      <c r="L1236" s="15">
        <v>263.33</v>
      </c>
      <c r="M1236" s="15">
        <v>3579356.4</v>
      </c>
      <c r="N1236" s="15">
        <v>2155882.71</v>
      </c>
      <c r="O1236" s="16">
        <v>1423473.69</v>
      </c>
    </row>
    <row r="1237" spans="2:15" ht="18.75" hidden="1" x14ac:dyDescent="0.25">
      <c r="B1237" s="4" t="s">
        <v>81</v>
      </c>
      <c r="C1237" s="5" t="s">
        <v>158</v>
      </c>
      <c r="D1237" s="5" t="s">
        <v>93</v>
      </c>
      <c r="E1237" s="5" t="s">
        <v>54</v>
      </c>
      <c r="F1237" s="5" t="s">
        <v>70</v>
      </c>
      <c r="G1237" s="14">
        <v>40308</v>
      </c>
      <c r="H1237" s="5">
        <v>101105821</v>
      </c>
      <c r="I1237" s="14">
        <v>40337</v>
      </c>
      <c r="J1237" s="5">
        <v>8314</v>
      </c>
      <c r="K1237" s="15">
        <v>81.73</v>
      </c>
      <c r="L1237" s="15">
        <v>56.67</v>
      </c>
      <c r="M1237" s="15">
        <v>679503.22000000009</v>
      </c>
      <c r="N1237" s="15">
        <v>471154.38</v>
      </c>
      <c r="O1237" s="16">
        <v>208348.84000000008</v>
      </c>
    </row>
    <row r="1238" spans="2:15" ht="18.75" hidden="1" x14ac:dyDescent="0.25">
      <c r="B1238" s="4" t="s">
        <v>51</v>
      </c>
      <c r="C1238" s="5" t="s">
        <v>215</v>
      </c>
      <c r="D1238" s="5" t="s">
        <v>78</v>
      </c>
      <c r="E1238" s="5" t="s">
        <v>54</v>
      </c>
      <c r="F1238" s="5" t="s">
        <v>59</v>
      </c>
      <c r="G1238" s="14">
        <v>41445</v>
      </c>
      <c r="H1238" s="5">
        <v>101106250</v>
      </c>
      <c r="I1238" s="14">
        <v>41470</v>
      </c>
      <c r="J1238" s="5">
        <v>8441</v>
      </c>
      <c r="K1238" s="15">
        <v>47.45</v>
      </c>
      <c r="L1238" s="15">
        <v>31.79</v>
      </c>
      <c r="M1238" s="15">
        <v>400525.45</v>
      </c>
      <c r="N1238" s="15">
        <v>268339.39</v>
      </c>
      <c r="O1238" s="16">
        <v>132186.06</v>
      </c>
    </row>
    <row r="1239" spans="2:15" ht="18.75" hidden="1" x14ac:dyDescent="0.25">
      <c r="B1239" s="4" t="s">
        <v>66</v>
      </c>
      <c r="C1239" s="5" t="s">
        <v>95</v>
      </c>
      <c r="D1239" s="5" t="s">
        <v>96</v>
      </c>
      <c r="E1239" s="5" t="s">
        <v>54</v>
      </c>
      <c r="F1239" s="5" t="s">
        <v>59</v>
      </c>
      <c r="G1239" s="14">
        <v>42582</v>
      </c>
      <c r="H1239" s="5">
        <v>101106679</v>
      </c>
      <c r="I1239" s="14">
        <v>42602</v>
      </c>
      <c r="J1239" s="5">
        <v>8568</v>
      </c>
      <c r="K1239" s="15">
        <v>154.06</v>
      </c>
      <c r="L1239" s="15">
        <v>90.93</v>
      </c>
      <c r="M1239" s="15">
        <v>1319986.08</v>
      </c>
      <c r="N1239" s="15">
        <v>779088.24000000011</v>
      </c>
      <c r="O1239" s="16">
        <v>540897.84</v>
      </c>
    </row>
    <row r="1240" spans="2:15" ht="18.75" hidden="1" x14ac:dyDescent="0.25">
      <c r="B1240" s="4" t="s">
        <v>51</v>
      </c>
      <c r="C1240" s="5" t="s">
        <v>160</v>
      </c>
      <c r="D1240" s="5" t="s">
        <v>100</v>
      </c>
      <c r="E1240" s="5" t="s">
        <v>54</v>
      </c>
      <c r="F1240" s="5" t="s">
        <v>55</v>
      </c>
      <c r="G1240" s="14">
        <v>40898</v>
      </c>
      <c r="H1240" s="5">
        <v>101107537</v>
      </c>
      <c r="I1240" s="14">
        <v>40910</v>
      </c>
      <c r="J1240" s="5">
        <v>8822</v>
      </c>
      <c r="K1240" s="15">
        <v>205.7</v>
      </c>
      <c r="L1240" s="15">
        <v>117.11</v>
      </c>
      <c r="M1240" s="15">
        <v>1814685.4</v>
      </c>
      <c r="N1240" s="15">
        <v>1033144.42</v>
      </c>
      <c r="O1240" s="16">
        <v>781540.97999999986</v>
      </c>
    </row>
    <row r="1241" spans="2:15" ht="18.75" hidden="1" x14ac:dyDescent="0.25">
      <c r="B1241" s="4" t="s">
        <v>60</v>
      </c>
      <c r="C1241" s="5" t="s">
        <v>243</v>
      </c>
      <c r="D1241" s="5" t="s">
        <v>88</v>
      </c>
      <c r="E1241" s="5" t="s">
        <v>54</v>
      </c>
      <c r="F1241" s="5" t="s">
        <v>70</v>
      </c>
      <c r="G1241" s="14">
        <v>43172</v>
      </c>
      <c r="H1241" s="5">
        <v>101108396</v>
      </c>
      <c r="I1241" s="14">
        <v>43175</v>
      </c>
      <c r="J1241" s="5">
        <v>9076</v>
      </c>
      <c r="K1241" s="15">
        <v>152.58000000000001</v>
      </c>
      <c r="L1241" s="15">
        <v>97.44</v>
      </c>
      <c r="M1241" s="15">
        <v>1384816.08</v>
      </c>
      <c r="N1241" s="15">
        <v>884365.44</v>
      </c>
      <c r="O1241" s="16">
        <v>500450.64000000013</v>
      </c>
    </row>
    <row r="1242" spans="2:15" ht="18.75" hidden="1" x14ac:dyDescent="0.25">
      <c r="B1242" s="4" t="s">
        <v>60</v>
      </c>
      <c r="C1242" s="5" t="s">
        <v>217</v>
      </c>
      <c r="D1242" s="5" t="s">
        <v>78</v>
      </c>
      <c r="E1242" s="5" t="s">
        <v>54</v>
      </c>
      <c r="F1242" s="5" t="s">
        <v>59</v>
      </c>
      <c r="G1242" s="14">
        <v>42625</v>
      </c>
      <c r="H1242" s="5">
        <v>101109683</v>
      </c>
      <c r="I1242" s="14">
        <v>42666</v>
      </c>
      <c r="J1242" s="5">
        <v>9457</v>
      </c>
      <c r="K1242" s="15">
        <v>47.45</v>
      </c>
      <c r="L1242" s="15">
        <v>31.79</v>
      </c>
      <c r="M1242" s="15">
        <v>448734.65</v>
      </c>
      <c r="N1242" s="15">
        <v>300638.02999999997</v>
      </c>
      <c r="O1242" s="16">
        <v>148096.62000000005</v>
      </c>
    </row>
    <row r="1243" spans="2:15" ht="18.75" hidden="1" x14ac:dyDescent="0.25">
      <c r="B1243" s="4" t="s">
        <v>81</v>
      </c>
      <c r="C1243" s="5" t="s">
        <v>163</v>
      </c>
      <c r="D1243" s="5" t="s">
        <v>93</v>
      </c>
      <c r="E1243" s="5" t="s">
        <v>54</v>
      </c>
      <c r="F1243" s="5" t="s">
        <v>59</v>
      </c>
      <c r="G1243" s="14">
        <v>42669</v>
      </c>
      <c r="H1243" s="5">
        <v>101112687</v>
      </c>
      <c r="I1243" s="14">
        <v>42679</v>
      </c>
      <c r="J1243" s="5">
        <v>346</v>
      </c>
      <c r="K1243" s="15">
        <v>81.73</v>
      </c>
      <c r="L1243" s="15">
        <v>56.67</v>
      </c>
      <c r="M1243" s="15">
        <v>28278.58</v>
      </c>
      <c r="N1243" s="15">
        <v>19607.82</v>
      </c>
      <c r="O1243" s="16">
        <v>8670.760000000002</v>
      </c>
    </row>
    <row r="1244" spans="2:15" ht="18.75" hidden="1" x14ac:dyDescent="0.25">
      <c r="B1244" s="4" t="s">
        <v>51</v>
      </c>
      <c r="C1244" s="5" t="s">
        <v>165</v>
      </c>
      <c r="D1244" s="5" t="s">
        <v>96</v>
      </c>
      <c r="E1244" s="5" t="s">
        <v>54</v>
      </c>
      <c r="F1244" s="5" t="s">
        <v>63</v>
      </c>
      <c r="G1244" s="14">
        <v>40984</v>
      </c>
      <c r="H1244" s="5">
        <v>101113545</v>
      </c>
      <c r="I1244" s="14">
        <v>40986</v>
      </c>
      <c r="J1244" s="5">
        <v>600</v>
      </c>
      <c r="K1244" s="15">
        <v>154.06</v>
      </c>
      <c r="L1244" s="15">
        <v>90.93</v>
      </c>
      <c r="M1244" s="15">
        <v>92436</v>
      </c>
      <c r="N1244" s="15">
        <v>54558.000000000007</v>
      </c>
      <c r="O1244" s="16">
        <v>37877.999999999993</v>
      </c>
    </row>
    <row r="1245" spans="2:15" ht="18.75" hidden="1" x14ac:dyDescent="0.25">
      <c r="B1245" s="4" t="s">
        <v>81</v>
      </c>
      <c r="C1245" s="5" t="s">
        <v>121</v>
      </c>
      <c r="D1245" s="5" t="s">
        <v>80</v>
      </c>
      <c r="E1245" s="5" t="s">
        <v>54</v>
      </c>
      <c r="F1245" s="5" t="s">
        <v>55</v>
      </c>
      <c r="G1245" s="14">
        <v>42121</v>
      </c>
      <c r="H1245" s="5">
        <v>101113975</v>
      </c>
      <c r="I1245" s="14">
        <v>42169</v>
      </c>
      <c r="J1245" s="5">
        <v>727</v>
      </c>
      <c r="K1245" s="15">
        <v>668.27</v>
      </c>
      <c r="L1245" s="15">
        <v>502.54</v>
      </c>
      <c r="M1245" s="15">
        <v>485832.29</v>
      </c>
      <c r="N1245" s="15">
        <v>365346.58</v>
      </c>
      <c r="O1245" s="16">
        <v>120485.70999999996</v>
      </c>
    </row>
    <row r="1246" spans="2:15" ht="18.75" hidden="1" x14ac:dyDescent="0.25">
      <c r="B1246" s="4" t="s">
        <v>74</v>
      </c>
      <c r="C1246" s="5" t="s">
        <v>104</v>
      </c>
      <c r="D1246" s="5" t="s">
        <v>62</v>
      </c>
      <c r="E1246" s="5" t="s">
        <v>54</v>
      </c>
      <c r="F1246" s="5" t="s">
        <v>59</v>
      </c>
      <c r="G1246" s="14">
        <v>42712</v>
      </c>
      <c r="H1246" s="5">
        <v>101115691</v>
      </c>
      <c r="I1246" s="14">
        <v>42743</v>
      </c>
      <c r="J1246" s="5">
        <v>1235</v>
      </c>
      <c r="K1246" s="15">
        <v>437.2</v>
      </c>
      <c r="L1246" s="15">
        <v>263.33</v>
      </c>
      <c r="M1246" s="15">
        <v>539942</v>
      </c>
      <c r="N1246" s="15">
        <v>325212.55</v>
      </c>
      <c r="O1246" s="16">
        <v>214729.45</v>
      </c>
    </row>
    <row r="1247" spans="2:15" ht="18.75" hidden="1" x14ac:dyDescent="0.25">
      <c r="B1247" s="4" t="s">
        <v>56</v>
      </c>
      <c r="C1247" s="5" t="s">
        <v>166</v>
      </c>
      <c r="D1247" s="5" t="s">
        <v>78</v>
      </c>
      <c r="E1247" s="5" t="s">
        <v>54</v>
      </c>
      <c r="F1247" s="5" t="s">
        <v>63</v>
      </c>
      <c r="G1247" s="14">
        <v>41027</v>
      </c>
      <c r="H1247" s="5">
        <v>101116549</v>
      </c>
      <c r="I1247" s="14">
        <v>41049</v>
      </c>
      <c r="J1247" s="5">
        <v>1489</v>
      </c>
      <c r="K1247" s="15">
        <v>47.45</v>
      </c>
      <c r="L1247" s="15">
        <v>31.79</v>
      </c>
      <c r="M1247" s="15">
        <v>70653.05</v>
      </c>
      <c r="N1247" s="15">
        <v>47335.31</v>
      </c>
      <c r="O1247" s="16">
        <v>23317.740000000005</v>
      </c>
    </row>
    <row r="1248" spans="2:15" ht="18.75" hidden="1" x14ac:dyDescent="0.25">
      <c r="B1248" s="4" t="s">
        <v>51</v>
      </c>
      <c r="C1248" s="5" t="s">
        <v>196</v>
      </c>
      <c r="D1248" s="5" t="s">
        <v>96</v>
      </c>
      <c r="E1248" s="5" t="s">
        <v>54</v>
      </c>
      <c r="F1248" s="5" t="s">
        <v>55</v>
      </c>
      <c r="G1248" s="14">
        <v>42165</v>
      </c>
      <c r="H1248" s="5">
        <v>101116979</v>
      </c>
      <c r="I1248" s="14">
        <v>42183</v>
      </c>
      <c r="J1248" s="5">
        <v>1616</v>
      </c>
      <c r="K1248" s="15">
        <v>154.06</v>
      </c>
      <c r="L1248" s="15">
        <v>90.93</v>
      </c>
      <c r="M1248" s="15">
        <v>248960.96</v>
      </c>
      <c r="N1248" s="15">
        <v>146942.88</v>
      </c>
      <c r="O1248" s="16">
        <v>102018.07999999999</v>
      </c>
    </row>
    <row r="1249" spans="2:15" ht="18.75" hidden="1" x14ac:dyDescent="0.25">
      <c r="B1249" s="4" t="s">
        <v>56</v>
      </c>
      <c r="C1249" s="5" t="s">
        <v>260</v>
      </c>
      <c r="D1249" s="5" t="s">
        <v>100</v>
      </c>
      <c r="E1249" s="5" t="s">
        <v>54</v>
      </c>
      <c r="F1249" s="5" t="s">
        <v>70</v>
      </c>
      <c r="G1249" s="14">
        <v>40480</v>
      </c>
      <c r="H1249" s="5">
        <v>101117837</v>
      </c>
      <c r="I1249" s="14">
        <v>40489</v>
      </c>
      <c r="J1249" s="5">
        <v>1870</v>
      </c>
      <c r="K1249" s="15">
        <v>205.7</v>
      </c>
      <c r="L1249" s="15">
        <v>117.11</v>
      </c>
      <c r="M1249" s="15">
        <v>384659</v>
      </c>
      <c r="N1249" s="15">
        <v>218995.7</v>
      </c>
      <c r="O1249" s="16">
        <v>165663.29999999999</v>
      </c>
    </row>
    <row r="1250" spans="2:15" ht="18.75" hidden="1" x14ac:dyDescent="0.25">
      <c r="B1250" s="4" t="s">
        <v>51</v>
      </c>
      <c r="C1250" s="5" t="s">
        <v>170</v>
      </c>
      <c r="D1250" s="5" t="s">
        <v>93</v>
      </c>
      <c r="E1250" s="5" t="s">
        <v>54</v>
      </c>
      <c r="F1250" s="5" t="s">
        <v>63</v>
      </c>
      <c r="G1250" s="14">
        <v>41070</v>
      </c>
      <c r="H1250" s="5">
        <v>101119554</v>
      </c>
      <c r="I1250" s="14">
        <v>41113</v>
      </c>
      <c r="J1250" s="5">
        <v>2378</v>
      </c>
      <c r="K1250" s="15">
        <v>81.73</v>
      </c>
      <c r="L1250" s="15">
        <v>56.67</v>
      </c>
      <c r="M1250" s="15">
        <v>194353.94</v>
      </c>
      <c r="N1250" s="15">
        <v>134761.26</v>
      </c>
      <c r="O1250" s="16">
        <v>59592.679999999993</v>
      </c>
    </row>
    <row r="1251" spans="2:15" ht="18.75" hidden="1" x14ac:dyDescent="0.25">
      <c r="B1251" s="4" t="s">
        <v>60</v>
      </c>
      <c r="C1251" s="5" t="s">
        <v>172</v>
      </c>
      <c r="D1251" s="5" t="s">
        <v>96</v>
      </c>
      <c r="E1251" s="5" t="s">
        <v>54</v>
      </c>
      <c r="F1251" s="5" t="s">
        <v>55</v>
      </c>
      <c r="G1251" s="14">
        <v>43345</v>
      </c>
      <c r="H1251" s="5">
        <v>101120412</v>
      </c>
      <c r="I1251" s="14">
        <v>43379</v>
      </c>
      <c r="J1251" s="5">
        <v>2632</v>
      </c>
      <c r="K1251" s="15">
        <v>154.06</v>
      </c>
      <c r="L1251" s="15">
        <v>90.93</v>
      </c>
      <c r="M1251" s="15">
        <v>405485.92</v>
      </c>
      <c r="N1251" s="15">
        <v>239327.76</v>
      </c>
      <c r="O1251" s="16">
        <v>166158.15999999997</v>
      </c>
    </row>
    <row r="1252" spans="2:15" ht="18.75" hidden="1" x14ac:dyDescent="0.25">
      <c r="B1252" s="4" t="s">
        <v>81</v>
      </c>
      <c r="C1252" s="5" t="s">
        <v>133</v>
      </c>
      <c r="D1252" s="5" t="s">
        <v>100</v>
      </c>
      <c r="E1252" s="5" t="s">
        <v>54</v>
      </c>
      <c r="F1252" s="5" t="s">
        <v>70</v>
      </c>
      <c r="G1252" s="14">
        <v>41661</v>
      </c>
      <c r="H1252" s="5">
        <v>101121270</v>
      </c>
      <c r="I1252" s="14">
        <v>41686</v>
      </c>
      <c r="J1252" s="5">
        <v>2886</v>
      </c>
      <c r="K1252" s="15">
        <v>205.7</v>
      </c>
      <c r="L1252" s="15">
        <v>117.11</v>
      </c>
      <c r="M1252" s="15">
        <v>593650.19999999995</v>
      </c>
      <c r="N1252" s="15">
        <v>337979.46</v>
      </c>
      <c r="O1252" s="16">
        <v>255670.73999999993</v>
      </c>
    </row>
    <row r="1253" spans="2:15" ht="18.75" hidden="1" x14ac:dyDescent="0.25">
      <c r="B1253" s="4" t="s">
        <v>74</v>
      </c>
      <c r="C1253" s="5" t="s">
        <v>220</v>
      </c>
      <c r="D1253" s="5" t="s">
        <v>76</v>
      </c>
      <c r="E1253" s="5" t="s">
        <v>54</v>
      </c>
      <c r="F1253" s="5" t="s">
        <v>59</v>
      </c>
      <c r="G1253" s="14">
        <v>42798</v>
      </c>
      <c r="H1253" s="5">
        <v>101121699</v>
      </c>
      <c r="I1253" s="14">
        <v>42819</v>
      </c>
      <c r="J1253" s="5">
        <v>3013</v>
      </c>
      <c r="K1253" s="15">
        <v>421.89</v>
      </c>
      <c r="L1253" s="15">
        <v>364.69</v>
      </c>
      <c r="M1253" s="15">
        <v>1271154.57</v>
      </c>
      <c r="N1253" s="15">
        <v>1098810.97</v>
      </c>
      <c r="O1253" s="16">
        <v>172343.60000000009</v>
      </c>
    </row>
    <row r="1254" spans="2:15" ht="18.75" hidden="1" x14ac:dyDescent="0.25">
      <c r="B1254" s="4" t="s">
        <v>72</v>
      </c>
      <c r="C1254" s="5" t="s">
        <v>173</v>
      </c>
      <c r="D1254" s="5" t="s">
        <v>88</v>
      </c>
      <c r="E1254" s="5" t="s">
        <v>54</v>
      </c>
      <c r="F1254" s="5" t="s">
        <v>59</v>
      </c>
      <c r="G1254" s="14">
        <v>43935</v>
      </c>
      <c r="H1254" s="5">
        <v>101122128</v>
      </c>
      <c r="I1254" s="14">
        <v>43951</v>
      </c>
      <c r="J1254" s="5">
        <v>3140</v>
      </c>
      <c r="K1254" s="15">
        <v>152.58000000000001</v>
      </c>
      <c r="L1254" s="15">
        <v>97.44</v>
      </c>
      <c r="M1254" s="15">
        <v>479101.2</v>
      </c>
      <c r="N1254" s="15">
        <v>305961.59999999998</v>
      </c>
      <c r="O1254" s="16">
        <v>173139.60000000003</v>
      </c>
    </row>
    <row r="1255" spans="2:15" ht="18.75" hidden="1" x14ac:dyDescent="0.25">
      <c r="B1255" s="4" t="s">
        <v>51</v>
      </c>
      <c r="C1255" s="5" t="s">
        <v>136</v>
      </c>
      <c r="D1255" s="5" t="s">
        <v>93</v>
      </c>
      <c r="E1255" s="5" t="s">
        <v>54</v>
      </c>
      <c r="F1255" s="5" t="s">
        <v>63</v>
      </c>
      <c r="G1255" s="14">
        <v>42251</v>
      </c>
      <c r="H1255" s="5">
        <v>101122987</v>
      </c>
      <c r="I1255" s="14">
        <v>42259</v>
      </c>
      <c r="J1255" s="5">
        <v>3394</v>
      </c>
      <c r="K1255" s="15">
        <v>81.73</v>
      </c>
      <c r="L1255" s="15">
        <v>56.67</v>
      </c>
      <c r="M1255" s="15">
        <v>277391.62</v>
      </c>
      <c r="N1255" s="15">
        <v>192337.98</v>
      </c>
      <c r="O1255" s="16">
        <v>85053.639999999985</v>
      </c>
    </row>
    <row r="1256" spans="2:15" ht="18.75" hidden="1" x14ac:dyDescent="0.25">
      <c r="B1256" s="4" t="s">
        <v>60</v>
      </c>
      <c r="C1256" s="5" t="s">
        <v>238</v>
      </c>
      <c r="D1256" s="5" t="s">
        <v>96</v>
      </c>
      <c r="E1256" s="5" t="s">
        <v>54</v>
      </c>
      <c r="F1256" s="5" t="s">
        <v>55</v>
      </c>
      <c r="G1256" s="14">
        <v>40567</v>
      </c>
      <c r="H1256" s="5">
        <v>101123845</v>
      </c>
      <c r="I1256" s="14">
        <v>40617</v>
      </c>
      <c r="J1256" s="5">
        <v>3648</v>
      </c>
      <c r="K1256" s="15">
        <v>154.06</v>
      </c>
      <c r="L1256" s="15">
        <v>90.93</v>
      </c>
      <c r="M1256" s="15">
        <v>562010.88</v>
      </c>
      <c r="N1256" s="15">
        <v>331712.64000000001</v>
      </c>
      <c r="O1256" s="16">
        <v>230298.23999999999</v>
      </c>
    </row>
    <row r="1257" spans="2:15" ht="18.75" hidden="1" x14ac:dyDescent="0.25">
      <c r="B1257" s="4" t="s">
        <v>51</v>
      </c>
      <c r="C1257" s="5" t="s">
        <v>114</v>
      </c>
      <c r="D1257" s="5" t="s">
        <v>68</v>
      </c>
      <c r="E1257" s="5" t="s">
        <v>54</v>
      </c>
      <c r="F1257" s="5" t="s">
        <v>70</v>
      </c>
      <c r="G1257" s="14">
        <v>41704</v>
      </c>
      <c r="H1257" s="5">
        <v>101124274</v>
      </c>
      <c r="I1257" s="14">
        <v>41750</v>
      </c>
      <c r="J1257" s="5">
        <v>3775</v>
      </c>
      <c r="K1257" s="15">
        <v>109.28</v>
      </c>
      <c r="L1257" s="15">
        <v>35.840000000000003</v>
      </c>
      <c r="M1257" s="15">
        <v>412532</v>
      </c>
      <c r="N1257" s="15">
        <v>135296</v>
      </c>
      <c r="O1257" s="16">
        <v>277236</v>
      </c>
    </row>
    <row r="1258" spans="2:15" ht="18.75" hidden="1" x14ac:dyDescent="0.25">
      <c r="B1258" s="4" t="s">
        <v>81</v>
      </c>
      <c r="C1258" s="5" t="s">
        <v>138</v>
      </c>
      <c r="D1258" s="5" t="s">
        <v>100</v>
      </c>
      <c r="E1258" s="5" t="s">
        <v>54</v>
      </c>
      <c r="F1258" s="5" t="s">
        <v>70</v>
      </c>
      <c r="G1258" s="14">
        <v>42841</v>
      </c>
      <c r="H1258" s="5">
        <v>101124703</v>
      </c>
      <c r="I1258" s="14">
        <v>42882</v>
      </c>
      <c r="J1258" s="5">
        <v>3902</v>
      </c>
      <c r="K1258" s="15">
        <v>205.7</v>
      </c>
      <c r="L1258" s="15">
        <v>117.11</v>
      </c>
      <c r="M1258" s="15">
        <v>802641.39999999991</v>
      </c>
      <c r="N1258" s="15">
        <v>456963.22</v>
      </c>
      <c r="O1258" s="16">
        <v>345678.17999999993</v>
      </c>
    </row>
    <row r="1259" spans="2:15" ht="18.75" x14ac:dyDescent="0.25">
      <c r="B1259" s="4" t="s">
        <v>60</v>
      </c>
      <c r="C1259" s="5" t="s">
        <v>254</v>
      </c>
      <c r="D1259" s="5" t="s">
        <v>76</v>
      </c>
      <c r="E1259" s="5" t="s">
        <v>54</v>
      </c>
      <c r="F1259" s="5" t="s">
        <v>59</v>
      </c>
      <c r="G1259" s="14">
        <v>43979</v>
      </c>
      <c r="H1259" s="5">
        <v>101125133</v>
      </c>
      <c r="I1259" s="14">
        <v>44016</v>
      </c>
      <c r="J1259" s="5">
        <v>4029</v>
      </c>
      <c r="K1259" s="15">
        <v>421.89</v>
      </c>
      <c r="L1259" s="15">
        <v>364.69</v>
      </c>
      <c r="M1259" s="15">
        <v>1699794.81</v>
      </c>
      <c r="N1259" s="15">
        <v>1469336.01</v>
      </c>
      <c r="O1259" s="16">
        <v>230458.80000000005</v>
      </c>
    </row>
    <row r="1260" spans="2:15" ht="18.75" hidden="1" x14ac:dyDescent="0.25">
      <c r="B1260" s="4" t="s">
        <v>81</v>
      </c>
      <c r="C1260" s="5" t="s">
        <v>222</v>
      </c>
      <c r="D1260" s="5" t="s">
        <v>53</v>
      </c>
      <c r="E1260" s="5" t="s">
        <v>54</v>
      </c>
      <c r="F1260" s="5" t="s">
        <v>63</v>
      </c>
      <c r="G1260" s="14">
        <v>42294</v>
      </c>
      <c r="H1260" s="5">
        <v>101125991</v>
      </c>
      <c r="I1260" s="14">
        <v>42322</v>
      </c>
      <c r="J1260" s="5">
        <v>4283</v>
      </c>
      <c r="K1260" s="15">
        <v>9.33</v>
      </c>
      <c r="L1260" s="15">
        <v>6.92</v>
      </c>
      <c r="M1260" s="15">
        <v>39960.39</v>
      </c>
      <c r="N1260" s="15">
        <v>29638.36</v>
      </c>
      <c r="O1260" s="16">
        <v>10322.029999999999</v>
      </c>
    </row>
    <row r="1261" spans="2:15" ht="18.75" x14ac:dyDescent="0.25">
      <c r="B1261" s="4" t="s">
        <v>81</v>
      </c>
      <c r="C1261" s="5" t="s">
        <v>119</v>
      </c>
      <c r="D1261" s="5" t="s">
        <v>100</v>
      </c>
      <c r="E1261" s="5" t="s">
        <v>54</v>
      </c>
      <c r="F1261" s="5" t="s">
        <v>59</v>
      </c>
      <c r="G1261" s="14">
        <v>44022</v>
      </c>
      <c r="H1261" s="5">
        <v>101128137</v>
      </c>
      <c r="I1261" s="14">
        <v>44028</v>
      </c>
      <c r="J1261" s="5">
        <v>4918</v>
      </c>
      <c r="K1261" s="15">
        <v>205.7</v>
      </c>
      <c r="L1261" s="15">
        <v>117.11</v>
      </c>
      <c r="M1261" s="15">
        <v>1011632.6</v>
      </c>
      <c r="N1261" s="15">
        <v>575946.98</v>
      </c>
      <c r="O1261" s="16">
        <v>435685.62</v>
      </c>
    </row>
    <row r="1262" spans="2:15" ht="18.75" hidden="1" x14ac:dyDescent="0.25">
      <c r="B1262" s="4" t="s">
        <v>51</v>
      </c>
      <c r="C1262" s="5" t="s">
        <v>240</v>
      </c>
      <c r="D1262" s="5" t="s">
        <v>88</v>
      </c>
      <c r="E1262" s="5" t="s">
        <v>54</v>
      </c>
      <c r="F1262" s="5" t="s">
        <v>63</v>
      </c>
      <c r="G1262" s="14">
        <v>42337</v>
      </c>
      <c r="H1262" s="5">
        <v>101128995</v>
      </c>
      <c r="I1262" s="14">
        <v>42386</v>
      </c>
      <c r="J1262" s="5">
        <v>5172</v>
      </c>
      <c r="K1262" s="15">
        <v>152.58000000000001</v>
      </c>
      <c r="L1262" s="15">
        <v>97.44</v>
      </c>
      <c r="M1262" s="15">
        <v>789143.76</v>
      </c>
      <c r="N1262" s="15">
        <v>503959.68</v>
      </c>
      <c r="O1262" s="16">
        <v>285184.08</v>
      </c>
    </row>
    <row r="1263" spans="2:15" ht="18.75" hidden="1" x14ac:dyDescent="0.25">
      <c r="B1263" s="4" t="s">
        <v>51</v>
      </c>
      <c r="C1263" s="5" t="s">
        <v>177</v>
      </c>
      <c r="D1263" s="5" t="s">
        <v>58</v>
      </c>
      <c r="E1263" s="5" t="s">
        <v>54</v>
      </c>
      <c r="F1263" s="5" t="s">
        <v>55</v>
      </c>
      <c r="G1263" s="14">
        <v>41790</v>
      </c>
      <c r="H1263" s="5">
        <v>101130282</v>
      </c>
      <c r="I1263" s="14">
        <v>41826</v>
      </c>
      <c r="J1263" s="5">
        <v>5553</v>
      </c>
      <c r="K1263" s="15">
        <v>255.28</v>
      </c>
      <c r="L1263" s="15">
        <v>159.41999999999999</v>
      </c>
      <c r="M1263" s="15">
        <v>1417569.84</v>
      </c>
      <c r="N1263" s="15">
        <v>885259.25999999989</v>
      </c>
      <c r="O1263" s="16">
        <v>532310.58000000019</v>
      </c>
    </row>
    <row r="1264" spans="2:15" ht="18.75" hidden="1" x14ac:dyDescent="0.25">
      <c r="B1264" s="4" t="s">
        <v>81</v>
      </c>
      <c r="C1264" s="5" t="s">
        <v>241</v>
      </c>
      <c r="D1264" s="5" t="s">
        <v>96</v>
      </c>
      <c r="E1264" s="5" t="s">
        <v>54</v>
      </c>
      <c r="F1264" s="5" t="s">
        <v>70</v>
      </c>
      <c r="G1264" s="14">
        <v>42928</v>
      </c>
      <c r="H1264" s="5">
        <v>101130712</v>
      </c>
      <c r="I1264" s="14">
        <v>42959</v>
      </c>
      <c r="J1264" s="5">
        <v>5680</v>
      </c>
      <c r="K1264" s="15">
        <v>154.06</v>
      </c>
      <c r="L1264" s="15">
        <v>90.93</v>
      </c>
      <c r="M1264" s="15">
        <v>875060.8</v>
      </c>
      <c r="N1264" s="15">
        <v>516482.4</v>
      </c>
      <c r="O1264" s="16">
        <v>358578.4</v>
      </c>
    </row>
    <row r="1265" spans="2:15" ht="18.75" hidden="1" x14ac:dyDescent="0.25">
      <c r="B1265" s="4" t="s">
        <v>74</v>
      </c>
      <c r="C1265" s="5" t="s">
        <v>178</v>
      </c>
      <c r="D1265" s="5" t="s">
        <v>68</v>
      </c>
      <c r="E1265" s="5" t="s">
        <v>54</v>
      </c>
      <c r="F1265" s="5" t="s">
        <v>70</v>
      </c>
      <c r="G1265" s="14">
        <v>44065</v>
      </c>
      <c r="H1265" s="5">
        <v>101131141</v>
      </c>
      <c r="I1265" s="14">
        <v>44092</v>
      </c>
      <c r="J1265" s="5">
        <v>5807</v>
      </c>
      <c r="K1265" s="15">
        <v>109.28</v>
      </c>
      <c r="L1265" s="15">
        <v>35.840000000000003</v>
      </c>
      <c r="M1265" s="15">
        <v>634588.96</v>
      </c>
      <c r="N1265" s="15">
        <v>208122.88000000003</v>
      </c>
      <c r="O1265" s="16">
        <v>426466.07999999996</v>
      </c>
    </row>
    <row r="1266" spans="2:15" ht="18.75" hidden="1" x14ac:dyDescent="0.25">
      <c r="B1266" s="4" t="s">
        <v>72</v>
      </c>
      <c r="C1266" s="5" t="s">
        <v>245</v>
      </c>
      <c r="D1266" s="5" t="s">
        <v>100</v>
      </c>
      <c r="E1266" s="5" t="s">
        <v>54</v>
      </c>
      <c r="F1266" s="5" t="s">
        <v>59</v>
      </c>
      <c r="G1266" s="14">
        <v>41243</v>
      </c>
      <c r="H1266" s="5">
        <v>101131570</v>
      </c>
      <c r="I1266" s="14">
        <v>41266</v>
      </c>
      <c r="J1266" s="5">
        <v>5934</v>
      </c>
      <c r="K1266" s="15">
        <v>205.7</v>
      </c>
      <c r="L1266" s="15">
        <v>117.11</v>
      </c>
      <c r="M1266" s="15">
        <v>1220623.8</v>
      </c>
      <c r="N1266" s="15">
        <v>694930.74</v>
      </c>
      <c r="O1266" s="16">
        <v>525693.06000000006</v>
      </c>
    </row>
    <row r="1267" spans="2:15" ht="18.75" hidden="1" x14ac:dyDescent="0.25">
      <c r="B1267" s="4" t="s">
        <v>56</v>
      </c>
      <c r="C1267" s="5" t="s">
        <v>257</v>
      </c>
      <c r="D1267" s="5" t="s">
        <v>76</v>
      </c>
      <c r="E1267" s="5" t="s">
        <v>54</v>
      </c>
      <c r="F1267" s="5" t="s">
        <v>63</v>
      </c>
      <c r="G1267" s="14">
        <v>42380</v>
      </c>
      <c r="H1267" s="5">
        <v>101131999</v>
      </c>
      <c r="I1267" s="14">
        <v>42398</v>
      </c>
      <c r="J1267" s="5">
        <v>6061</v>
      </c>
      <c r="K1267" s="15">
        <v>421.89</v>
      </c>
      <c r="L1267" s="15">
        <v>364.69</v>
      </c>
      <c r="M1267" s="15">
        <v>2557075.29</v>
      </c>
      <c r="N1267" s="15">
        <v>2210386.09</v>
      </c>
      <c r="O1267" s="16">
        <v>346689.20000000019</v>
      </c>
    </row>
    <row r="1268" spans="2:15" ht="18.75" hidden="1" x14ac:dyDescent="0.25">
      <c r="B1268" s="4" t="s">
        <v>51</v>
      </c>
      <c r="C1268" s="5" t="s">
        <v>64</v>
      </c>
      <c r="D1268" s="5" t="s">
        <v>88</v>
      </c>
      <c r="E1268" s="5" t="s">
        <v>54</v>
      </c>
      <c r="F1268" s="5" t="s">
        <v>63</v>
      </c>
      <c r="G1268" s="14">
        <v>43518</v>
      </c>
      <c r="H1268" s="5">
        <v>101132428</v>
      </c>
      <c r="I1268" s="14">
        <v>43532</v>
      </c>
      <c r="J1268" s="5">
        <v>6188</v>
      </c>
      <c r="K1268" s="15">
        <v>152.58000000000001</v>
      </c>
      <c r="L1268" s="15">
        <v>97.44</v>
      </c>
      <c r="M1268" s="15">
        <v>944165.04</v>
      </c>
      <c r="N1268" s="15">
        <v>602958.72</v>
      </c>
      <c r="O1268" s="16">
        <v>341206.32000000007</v>
      </c>
    </row>
    <row r="1269" spans="2:15" ht="18.75" hidden="1" x14ac:dyDescent="0.25">
      <c r="B1269" s="4" t="s">
        <v>56</v>
      </c>
      <c r="C1269" s="5" t="s">
        <v>124</v>
      </c>
      <c r="D1269" s="5" t="s">
        <v>93</v>
      </c>
      <c r="E1269" s="5" t="s">
        <v>54</v>
      </c>
      <c r="F1269" s="5" t="s">
        <v>55</v>
      </c>
      <c r="G1269" s="14">
        <v>41833</v>
      </c>
      <c r="H1269" s="5">
        <v>101133286</v>
      </c>
      <c r="I1269" s="14">
        <v>41838</v>
      </c>
      <c r="J1269" s="5">
        <v>6442</v>
      </c>
      <c r="K1269" s="15">
        <v>81.73</v>
      </c>
      <c r="L1269" s="15">
        <v>56.67</v>
      </c>
      <c r="M1269" s="15">
        <v>526504.66</v>
      </c>
      <c r="N1269" s="15">
        <v>365068.14</v>
      </c>
      <c r="O1269" s="16">
        <v>161436.52000000002</v>
      </c>
    </row>
    <row r="1270" spans="2:15" ht="18.75" hidden="1" x14ac:dyDescent="0.25">
      <c r="B1270" s="4" t="s">
        <v>81</v>
      </c>
      <c r="C1270" s="5" t="s">
        <v>179</v>
      </c>
      <c r="D1270" s="5" t="s">
        <v>96</v>
      </c>
      <c r="E1270" s="5" t="s">
        <v>54</v>
      </c>
      <c r="F1270" s="5" t="s">
        <v>70</v>
      </c>
      <c r="G1270" s="14">
        <v>44108</v>
      </c>
      <c r="H1270" s="5">
        <v>101134145</v>
      </c>
      <c r="I1270" s="14">
        <v>44155</v>
      </c>
      <c r="J1270" s="5">
        <v>6696</v>
      </c>
      <c r="K1270" s="15">
        <v>154.06</v>
      </c>
      <c r="L1270" s="15">
        <v>90.93</v>
      </c>
      <c r="M1270" s="15">
        <v>1031585.76</v>
      </c>
      <c r="N1270" s="15">
        <v>608867.28</v>
      </c>
      <c r="O1270" s="16">
        <v>422718.48</v>
      </c>
    </row>
    <row r="1271" spans="2:15" ht="18.75" hidden="1" x14ac:dyDescent="0.25">
      <c r="B1271" s="4" t="s">
        <v>60</v>
      </c>
      <c r="C1271" s="5" t="s">
        <v>69</v>
      </c>
      <c r="D1271" s="5" t="s">
        <v>68</v>
      </c>
      <c r="E1271" s="5" t="s">
        <v>54</v>
      </c>
      <c r="F1271" s="5" t="s">
        <v>59</v>
      </c>
      <c r="G1271" s="14">
        <v>41286</v>
      </c>
      <c r="H1271" s="5">
        <v>101134574</v>
      </c>
      <c r="I1271" s="14">
        <v>41329</v>
      </c>
      <c r="J1271" s="5">
        <v>6823</v>
      </c>
      <c r="K1271" s="15">
        <v>109.28</v>
      </c>
      <c r="L1271" s="15">
        <v>35.840000000000003</v>
      </c>
      <c r="M1271" s="15">
        <v>745617.44000000006</v>
      </c>
      <c r="N1271" s="15">
        <v>244536.32000000004</v>
      </c>
      <c r="O1271" s="16">
        <v>501081.12</v>
      </c>
    </row>
    <row r="1272" spans="2:15" ht="18.75" hidden="1" x14ac:dyDescent="0.25">
      <c r="B1272" s="4" t="s">
        <v>81</v>
      </c>
      <c r="C1272" s="5" t="s">
        <v>180</v>
      </c>
      <c r="D1272" s="5" t="s">
        <v>76</v>
      </c>
      <c r="E1272" s="5" t="s">
        <v>132</v>
      </c>
      <c r="F1272" s="5" t="s">
        <v>63</v>
      </c>
      <c r="G1272" s="14">
        <v>43561</v>
      </c>
      <c r="H1272" s="5">
        <v>101135432</v>
      </c>
      <c r="I1272" s="14">
        <v>43595</v>
      </c>
      <c r="J1272" s="5">
        <v>7077</v>
      </c>
      <c r="K1272" s="15">
        <v>421.89</v>
      </c>
      <c r="L1272" s="15">
        <v>364.69</v>
      </c>
      <c r="M1272" s="15">
        <v>2985715.53</v>
      </c>
      <c r="N1272" s="15">
        <v>2580911.13</v>
      </c>
      <c r="O1272" s="16">
        <v>404804.39999999991</v>
      </c>
    </row>
    <row r="1273" spans="2:15" ht="18.75" hidden="1" x14ac:dyDescent="0.25">
      <c r="B1273" s="4" t="s">
        <v>72</v>
      </c>
      <c r="C1273" s="5" t="s">
        <v>73</v>
      </c>
      <c r="D1273" s="5" t="s">
        <v>53</v>
      </c>
      <c r="E1273" s="5" t="s">
        <v>132</v>
      </c>
      <c r="F1273" s="5" t="s">
        <v>55</v>
      </c>
      <c r="G1273" s="14">
        <v>41877</v>
      </c>
      <c r="H1273" s="5">
        <v>101136291</v>
      </c>
      <c r="I1273" s="14">
        <v>41903</v>
      </c>
      <c r="J1273" s="5">
        <v>7331</v>
      </c>
      <c r="K1273" s="15">
        <v>9.33</v>
      </c>
      <c r="L1273" s="15">
        <v>6.92</v>
      </c>
      <c r="M1273" s="15">
        <v>68398.23</v>
      </c>
      <c r="N1273" s="15">
        <v>50730.52</v>
      </c>
      <c r="O1273" s="16">
        <v>17667.71</v>
      </c>
    </row>
    <row r="1274" spans="2:15" ht="18.75" hidden="1" x14ac:dyDescent="0.25">
      <c r="B1274" s="4" t="s">
        <v>81</v>
      </c>
      <c r="C1274" s="5" t="s">
        <v>181</v>
      </c>
      <c r="D1274" s="5" t="s">
        <v>93</v>
      </c>
      <c r="E1274" s="5" t="s">
        <v>132</v>
      </c>
      <c r="F1274" s="5" t="s">
        <v>70</v>
      </c>
      <c r="G1274" s="14">
        <v>43014</v>
      </c>
      <c r="H1274" s="5">
        <v>101136720</v>
      </c>
      <c r="I1274" s="14">
        <v>43035</v>
      </c>
      <c r="J1274" s="5">
        <v>7458</v>
      </c>
      <c r="K1274" s="15">
        <v>81.73</v>
      </c>
      <c r="L1274" s="15">
        <v>56.67</v>
      </c>
      <c r="M1274" s="15">
        <v>609542.34000000008</v>
      </c>
      <c r="N1274" s="15">
        <v>422644.86</v>
      </c>
      <c r="O1274" s="16">
        <v>186897.4800000001</v>
      </c>
    </row>
    <row r="1275" spans="2:15" ht="18.75" hidden="1" x14ac:dyDescent="0.25">
      <c r="B1275" s="4" t="s">
        <v>72</v>
      </c>
      <c r="C1275" s="5" t="s">
        <v>77</v>
      </c>
      <c r="D1275" s="5" t="s">
        <v>65</v>
      </c>
      <c r="E1275" s="5" t="s">
        <v>132</v>
      </c>
      <c r="F1275" s="5" t="s">
        <v>59</v>
      </c>
      <c r="G1275" s="14">
        <v>41330</v>
      </c>
      <c r="H1275" s="5">
        <v>101137578</v>
      </c>
      <c r="I1275" s="14">
        <v>41343</v>
      </c>
      <c r="J1275" s="5">
        <v>7712</v>
      </c>
      <c r="K1275" s="15">
        <v>651.21</v>
      </c>
      <c r="L1275" s="15">
        <v>524.96</v>
      </c>
      <c r="M1275" s="15">
        <v>5022131.5200000005</v>
      </c>
      <c r="N1275" s="15">
        <v>4048491.5200000005</v>
      </c>
      <c r="O1275" s="16">
        <v>973640</v>
      </c>
    </row>
    <row r="1276" spans="2:15" ht="18.75" hidden="1" x14ac:dyDescent="0.25">
      <c r="B1276" s="4" t="s">
        <v>56</v>
      </c>
      <c r="C1276" s="5" t="s">
        <v>183</v>
      </c>
      <c r="D1276" s="5" t="s">
        <v>68</v>
      </c>
      <c r="E1276" s="5" t="s">
        <v>132</v>
      </c>
      <c r="F1276" s="5" t="s">
        <v>59</v>
      </c>
      <c r="G1276" s="14">
        <v>42467</v>
      </c>
      <c r="H1276" s="5">
        <v>101138007</v>
      </c>
      <c r="I1276" s="14">
        <v>42475</v>
      </c>
      <c r="J1276" s="5">
        <v>7839</v>
      </c>
      <c r="K1276" s="15">
        <v>109.28</v>
      </c>
      <c r="L1276" s="15">
        <v>35.840000000000003</v>
      </c>
      <c r="M1276" s="15">
        <v>856645.92</v>
      </c>
      <c r="N1276" s="15">
        <v>280949.76000000001</v>
      </c>
      <c r="O1276" s="16">
        <v>575696.16</v>
      </c>
    </row>
    <row r="1277" spans="2:15" ht="18.75" hidden="1" x14ac:dyDescent="0.25">
      <c r="B1277" s="4" t="s">
        <v>51</v>
      </c>
      <c r="C1277" s="5" t="s">
        <v>79</v>
      </c>
      <c r="D1277" s="5" t="s">
        <v>62</v>
      </c>
      <c r="E1277" s="5" t="s">
        <v>132</v>
      </c>
      <c r="F1277" s="5" t="s">
        <v>63</v>
      </c>
      <c r="G1277" s="14">
        <v>43604</v>
      </c>
      <c r="H1277" s="5">
        <v>101138436</v>
      </c>
      <c r="I1277" s="14">
        <v>43608</v>
      </c>
      <c r="J1277" s="5">
        <v>7966</v>
      </c>
      <c r="K1277" s="15">
        <v>437.2</v>
      </c>
      <c r="L1277" s="15">
        <v>263.33</v>
      </c>
      <c r="M1277" s="15">
        <v>3482735.1999999997</v>
      </c>
      <c r="N1277" s="15">
        <v>2097686.7799999998</v>
      </c>
      <c r="O1277" s="16">
        <v>1385048.42</v>
      </c>
    </row>
    <row r="1278" spans="2:15" ht="18.75" hidden="1" x14ac:dyDescent="0.25">
      <c r="B1278" s="4" t="s">
        <v>81</v>
      </c>
      <c r="C1278" s="5" t="s">
        <v>84</v>
      </c>
      <c r="D1278" s="5" t="s">
        <v>80</v>
      </c>
      <c r="E1278" s="5" t="s">
        <v>132</v>
      </c>
      <c r="F1278" s="5" t="s">
        <v>70</v>
      </c>
      <c r="G1278" s="14">
        <v>40235</v>
      </c>
      <c r="H1278" s="5">
        <v>101140153</v>
      </c>
      <c r="I1278" s="14">
        <v>40272</v>
      </c>
      <c r="J1278" s="5">
        <v>8474</v>
      </c>
      <c r="K1278" s="15">
        <v>668.27</v>
      </c>
      <c r="L1278" s="15">
        <v>502.54</v>
      </c>
      <c r="M1278" s="15">
        <v>5662919.9799999995</v>
      </c>
      <c r="N1278" s="15">
        <v>4258523.96</v>
      </c>
      <c r="O1278" s="16">
        <v>1404396.0199999996</v>
      </c>
    </row>
    <row r="1279" spans="2:15" ht="18.75" hidden="1" x14ac:dyDescent="0.25">
      <c r="B1279" s="4" t="s">
        <v>60</v>
      </c>
      <c r="C1279" s="5" t="s">
        <v>139</v>
      </c>
      <c r="D1279" s="5" t="s">
        <v>58</v>
      </c>
      <c r="E1279" s="5" t="s">
        <v>132</v>
      </c>
      <c r="F1279" s="5" t="s">
        <v>70</v>
      </c>
      <c r="G1279" s="14">
        <v>41373</v>
      </c>
      <c r="H1279" s="5">
        <v>101140582</v>
      </c>
      <c r="I1279" s="14">
        <v>41406</v>
      </c>
      <c r="J1279" s="5">
        <v>8601</v>
      </c>
      <c r="K1279" s="15">
        <v>255.28</v>
      </c>
      <c r="L1279" s="15">
        <v>159.41999999999999</v>
      </c>
      <c r="M1279" s="15">
        <v>2195663.2799999998</v>
      </c>
      <c r="N1279" s="15">
        <v>1371171.42</v>
      </c>
      <c r="O1279" s="16">
        <v>824491.85999999987</v>
      </c>
    </row>
    <row r="1280" spans="2:15" ht="18.75" hidden="1" x14ac:dyDescent="0.25">
      <c r="B1280" s="4" t="s">
        <v>51</v>
      </c>
      <c r="C1280" s="5" t="s">
        <v>154</v>
      </c>
      <c r="D1280" s="5" t="s">
        <v>65</v>
      </c>
      <c r="E1280" s="5" t="s">
        <v>132</v>
      </c>
      <c r="F1280" s="5" t="s">
        <v>59</v>
      </c>
      <c r="G1280" s="14">
        <v>42510</v>
      </c>
      <c r="H1280" s="5">
        <v>101141011</v>
      </c>
      <c r="I1280" s="14">
        <v>42539</v>
      </c>
      <c r="J1280" s="5">
        <v>8728</v>
      </c>
      <c r="K1280" s="15">
        <v>651.21</v>
      </c>
      <c r="L1280" s="15">
        <v>524.96</v>
      </c>
      <c r="M1280" s="15">
        <v>5683760.8799999999</v>
      </c>
      <c r="N1280" s="15">
        <v>4581850.88</v>
      </c>
      <c r="O1280" s="16">
        <v>1101910</v>
      </c>
    </row>
    <row r="1281" spans="2:15" ht="18.75" hidden="1" x14ac:dyDescent="0.25">
      <c r="B1281" s="4" t="s">
        <v>72</v>
      </c>
      <c r="C1281" s="5" t="s">
        <v>186</v>
      </c>
      <c r="D1281" s="5" t="s">
        <v>76</v>
      </c>
      <c r="E1281" s="5" t="s">
        <v>132</v>
      </c>
      <c r="F1281" s="5" t="s">
        <v>55</v>
      </c>
      <c r="G1281" s="14">
        <v>41963</v>
      </c>
      <c r="H1281" s="5">
        <v>101142299</v>
      </c>
      <c r="I1281" s="14">
        <v>41979</v>
      </c>
      <c r="J1281" s="5">
        <v>9109</v>
      </c>
      <c r="K1281" s="15">
        <v>421.89</v>
      </c>
      <c r="L1281" s="15">
        <v>364.69</v>
      </c>
      <c r="M1281" s="15">
        <v>3842996.01</v>
      </c>
      <c r="N1281" s="15">
        <v>3321961.21</v>
      </c>
      <c r="O1281" s="16">
        <v>521034.79999999981</v>
      </c>
    </row>
    <row r="1282" spans="2:15" ht="18.75" hidden="1" x14ac:dyDescent="0.25">
      <c r="B1282" s="4" t="s">
        <v>51</v>
      </c>
      <c r="C1282" s="5" t="s">
        <v>87</v>
      </c>
      <c r="D1282" s="5" t="s">
        <v>53</v>
      </c>
      <c r="E1282" s="5" t="s">
        <v>132</v>
      </c>
      <c r="F1282" s="5" t="s">
        <v>70</v>
      </c>
      <c r="G1282" s="14">
        <v>40279</v>
      </c>
      <c r="H1282" s="5">
        <v>101143157</v>
      </c>
      <c r="I1282" s="14">
        <v>40286</v>
      </c>
      <c r="J1282" s="5">
        <v>9363</v>
      </c>
      <c r="K1282" s="15">
        <v>9.33</v>
      </c>
      <c r="L1282" s="15">
        <v>6.92</v>
      </c>
      <c r="M1282" s="15">
        <v>87356.79</v>
      </c>
      <c r="N1282" s="15">
        <v>64791.96</v>
      </c>
      <c r="O1282" s="16">
        <v>22564.829999999994</v>
      </c>
    </row>
    <row r="1283" spans="2:15" ht="18.75" hidden="1" x14ac:dyDescent="0.25">
      <c r="B1283" s="4" t="s">
        <v>51</v>
      </c>
      <c r="C1283" s="5" t="s">
        <v>205</v>
      </c>
      <c r="D1283" s="5" t="s">
        <v>76</v>
      </c>
      <c r="E1283" s="5" t="s">
        <v>132</v>
      </c>
      <c r="F1283" s="5" t="s">
        <v>55</v>
      </c>
      <c r="G1283" s="14">
        <v>43143</v>
      </c>
      <c r="H1283" s="5">
        <v>101145732</v>
      </c>
      <c r="I1283" s="14">
        <v>43175</v>
      </c>
      <c r="J1283" s="5">
        <v>125</v>
      </c>
      <c r="K1283" s="15">
        <v>421.89</v>
      </c>
      <c r="L1283" s="15">
        <v>364.69</v>
      </c>
      <c r="M1283" s="15">
        <v>52736.25</v>
      </c>
      <c r="N1283" s="15">
        <v>45586.25</v>
      </c>
      <c r="O1283" s="16">
        <v>7150</v>
      </c>
    </row>
    <row r="1284" spans="2:15" ht="18.75" hidden="1" x14ac:dyDescent="0.25">
      <c r="B1284" s="4" t="s">
        <v>74</v>
      </c>
      <c r="C1284" s="5" t="s">
        <v>188</v>
      </c>
      <c r="D1284" s="5" t="s">
        <v>53</v>
      </c>
      <c r="E1284" s="5" t="s">
        <v>132</v>
      </c>
      <c r="F1284" s="5" t="s">
        <v>70</v>
      </c>
      <c r="G1284" s="14">
        <v>41459</v>
      </c>
      <c r="H1284" s="5">
        <v>101146590</v>
      </c>
      <c r="I1284" s="14">
        <v>41482</v>
      </c>
      <c r="J1284" s="5">
        <v>379</v>
      </c>
      <c r="K1284" s="15">
        <v>9.33</v>
      </c>
      <c r="L1284" s="15">
        <v>6.92</v>
      </c>
      <c r="M1284" s="15">
        <v>3536.07</v>
      </c>
      <c r="N1284" s="15">
        <v>2622.68</v>
      </c>
      <c r="O1284" s="16">
        <v>913.39000000000033</v>
      </c>
    </row>
    <row r="1285" spans="2:15" ht="18.75" hidden="1" x14ac:dyDescent="0.25">
      <c r="B1285" s="4" t="s">
        <v>51</v>
      </c>
      <c r="C1285" s="5" t="s">
        <v>94</v>
      </c>
      <c r="D1285" s="5" t="s">
        <v>65</v>
      </c>
      <c r="E1285" s="5" t="s">
        <v>132</v>
      </c>
      <c r="F1285" s="5" t="s">
        <v>63</v>
      </c>
      <c r="G1285" s="14">
        <v>40912</v>
      </c>
      <c r="H1285" s="5">
        <v>101147878</v>
      </c>
      <c r="I1285" s="14">
        <v>40922</v>
      </c>
      <c r="J1285" s="5">
        <v>760</v>
      </c>
      <c r="K1285" s="15">
        <v>651.21</v>
      </c>
      <c r="L1285" s="15">
        <v>524.96</v>
      </c>
      <c r="M1285" s="15">
        <v>494919.60000000003</v>
      </c>
      <c r="N1285" s="15">
        <v>398969.60000000003</v>
      </c>
      <c r="O1285" s="16">
        <v>95950</v>
      </c>
    </row>
    <row r="1286" spans="2:15" ht="18.75" hidden="1" x14ac:dyDescent="0.25">
      <c r="B1286" s="4" t="s">
        <v>51</v>
      </c>
      <c r="C1286" s="5" t="s">
        <v>189</v>
      </c>
      <c r="D1286" s="5" t="s">
        <v>76</v>
      </c>
      <c r="E1286" s="5" t="s">
        <v>132</v>
      </c>
      <c r="F1286" s="5" t="s">
        <v>55</v>
      </c>
      <c r="G1286" s="14">
        <v>40365</v>
      </c>
      <c r="H1286" s="5">
        <v>101149165</v>
      </c>
      <c r="I1286" s="14">
        <v>40413</v>
      </c>
      <c r="J1286" s="5">
        <v>1141</v>
      </c>
      <c r="K1286" s="15">
        <v>421.89</v>
      </c>
      <c r="L1286" s="15">
        <v>364.69</v>
      </c>
      <c r="M1286" s="15">
        <v>481376.49</v>
      </c>
      <c r="N1286" s="15">
        <v>416111.29</v>
      </c>
      <c r="O1286" s="16">
        <v>65265.200000000012</v>
      </c>
    </row>
    <row r="1287" spans="2:15" ht="18.75" hidden="1" x14ac:dyDescent="0.25">
      <c r="B1287" s="4" t="s">
        <v>81</v>
      </c>
      <c r="C1287" s="5" t="s">
        <v>192</v>
      </c>
      <c r="D1287" s="5" t="s">
        <v>58</v>
      </c>
      <c r="E1287" s="5" t="s">
        <v>132</v>
      </c>
      <c r="F1287" s="5" t="s">
        <v>59</v>
      </c>
      <c r="G1287" s="14">
        <v>40955</v>
      </c>
      <c r="H1287" s="5">
        <v>101150882</v>
      </c>
      <c r="I1287" s="14">
        <v>40985</v>
      </c>
      <c r="J1287" s="5">
        <v>1649</v>
      </c>
      <c r="K1287" s="15">
        <v>255.28</v>
      </c>
      <c r="L1287" s="15">
        <v>159.41999999999999</v>
      </c>
      <c r="M1287" s="15">
        <v>420956.72000000003</v>
      </c>
      <c r="N1287" s="15">
        <v>262883.57999999996</v>
      </c>
      <c r="O1287" s="16">
        <v>158073.14000000007</v>
      </c>
    </row>
    <row r="1288" spans="2:15" ht="18.75" hidden="1" x14ac:dyDescent="0.25">
      <c r="B1288" s="4" t="s">
        <v>72</v>
      </c>
      <c r="C1288" s="5" t="s">
        <v>101</v>
      </c>
      <c r="D1288" s="5" t="s">
        <v>78</v>
      </c>
      <c r="E1288" s="5" t="s">
        <v>132</v>
      </c>
      <c r="F1288" s="5" t="s">
        <v>70</v>
      </c>
      <c r="G1288" s="14">
        <v>42683</v>
      </c>
      <c r="H1288" s="5">
        <v>101153028</v>
      </c>
      <c r="I1288" s="14">
        <v>42692</v>
      </c>
      <c r="J1288" s="5">
        <v>2284</v>
      </c>
      <c r="K1288" s="15">
        <v>47.45</v>
      </c>
      <c r="L1288" s="15">
        <v>31.79</v>
      </c>
      <c r="M1288" s="15">
        <v>108375.8</v>
      </c>
      <c r="N1288" s="15">
        <v>72608.36</v>
      </c>
      <c r="O1288" s="16">
        <v>35767.440000000002</v>
      </c>
    </row>
    <row r="1289" spans="2:15" ht="18.75" hidden="1" x14ac:dyDescent="0.25">
      <c r="B1289" s="4" t="s">
        <v>56</v>
      </c>
      <c r="C1289" s="5" t="s">
        <v>255</v>
      </c>
      <c r="D1289" s="5" t="s">
        <v>53</v>
      </c>
      <c r="E1289" s="5" t="s">
        <v>132</v>
      </c>
      <c r="F1289" s="5" t="s">
        <v>59</v>
      </c>
      <c r="G1289" s="14">
        <v>43820</v>
      </c>
      <c r="H1289" s="5">
        <v>101153457</v>
      </c>
      <c r="I1289" s="14">
        <v>43824</v>
      </c>
      <c r="J1289" s="5">
        <v>2411</v>
      </c>
      <c r="K1289" s="15">
        <v>9.33</v>
      </c>
      <c r="L1289" s="15">
        <v>6.92</v>
      </c>
      <c r="M1289" s="15">
        <v>22494.63</v>
      </c>
      <c r="N1289" s="15">
        <v>16684.12</v>
      </c>
      <c r="O1289" s="16">
        <v>5810.510000000002</v>
      </c>
    </row>
    <row r="1290" spans="2:15" ht="18.75" hidden="1" x14ac:dyDescent="0.25">
      <c r="B1290" s="4" t="s">
        <v>81</v>
      </c>
      <c r="C1290" s="5" t="s">
        <v>102</v>
      </c>
      <c r="D1290" s="5" t="s">
        <v>58</v>
      </c>
      <c r="E1290" s="5" t="s">
        <v>132</v>
      </c>
      <c r="F1290" s="5" t="s">
        <v>63</v>
      </c>
      <c r="G1290" s="14">
        <v>42136</v>
      </c>
      <c r="H1290" s="5">
        <v>101154315</v>
      </c>
      <c r="I1290" s="14">
        <v>42183</v>
      </c>
      <c r="J1290" s="5">
        <v>2665</v>
      </c>
      <c r="K1290" s="15">
        <v>255.28</v>
      </c>
      <c r="L1290" s="15">
        <v>159.41999999999999</v>
      </c>
      <c r="M1290" s="15">
        <v>680321.2</v>
      </c>
      <c r="N1290" s="15">
        <v>424854.3</v>
      </c>
      <c r="O1290" s="16">
        <v>255466.89999999997</v>
      </c>
    </row>
    <row r="1291" spans="2:15" ht="18.75" hidden="1" x14ac:dyDescent="0.25">
      <c r="B1291" s="4" t="s">
        <v>51</v>
      </c>
      <c r="C1291" s="5" t="s">
        <v>165</v>
      </c>
      <c r="D1291" s="5" t="s">
        <v>68</v>
      </c>
      <c r="E1291" s="5" t="s">
        <v>132</v>
      </c>
      <c r="F1291" s="5" t="s">
        <v>55</v>
      </c>
      <c r="G1291" s="14">
        <v>40451</v>
      </c>
      <c r="H1291" s="5">
        <v>101155173</v>
      </c>
      <c r="I1291" s="14">
        <v>40489</v>
      </c>
      <c r="J1291" s="5">
        <v>2919</v>
      </c>
      <c r="K1291" s="15">
        <v>109.28</v>
      </c>
      <c r="L1291" s="15">
        <v>35.840000000000003</v>
      </c>
      <c r="M1291" s="15">
        <v>318988.32</v>
      </c>
      <c r="N1291" s="15">
        <v>104616.96000000001</v>
      </c>
      <c r="O1291" s="16">
        <v>214371.36</v>
      </c>
    </row>
    <row r="1292" spans="2:15" ht="18.75" hidden="1" x14ac:dyDescent="0.25">
      <c r="B1292" s="4" t="s">
        <v>81</v>
      </c>
      <c r="C1292" s="5" t="s">
        <v>194</v>
      </c>
      <c r="D1292" s="5" t="s">
        <v>62</v>
      </c>
      <c r="E1292" s="5" t="s">
        <v>132</v>
      </c>
      <c r="F1292" s="5" t="s">
        <v>55</v>
      </c>
      <c r="G1292" s="14">
        <v>41589</v>
      </c>
      <c r="H1292" s="5">
        <v>101155602</v>
      </c>
      <c r="I1292" s="14">
        <v>41623</v>
      </c>
      <c r="J1292" s="5">
        <v>3046</v>
      </c>
      <c r="K1292" s="15">
        <v>437.2</v>
      </c>
      <c r="L1292" s="15">
        <v>263.33</v>
      </c>
      <c r="M1292" s="15">
        <v>1331711.2</v>
      </c>
      <c r="N1292" s="15">
        <v>802103.17999999993</v>
      </c>
      <c r="O1292" s="16">
        <v>529608.02</v>
      </c>
    </row>
    <row r="1293" spans="2:15" ht="18.75" hidden="1" x14ac:dyDescent="0.25">
      <c r="B1293" s="4" t="s">
        <v>60</v>
      </c>
      <c r="C1293" s="5" t="s">
        <v>253</v>
      </c>
      <c r="D1293" s="5" t="s">
        <v>76</v>
      </c>
      <c r="E1293" s="5" t="s">
        <v>132</v>
      </c>
      <c r="F1293" s="5" t="s">
        <v>70</v>
      </c>
      <c r="G1293" s="14">
        <v>42726</v>
      </c>
      <c r="H1293" s="5">
        <v>101156032</v>
      </c>
      <c r="I1293" s="14">
        <v>42755</v>
      </c>
      <c r="J1293" s="5">
        <v>3173</v>
      </c>
      <c r="K1293" s="15">
        <v>421.89</v>
      </c>
      <c r="L1293" s="15">
        <v>364.69</v>
      </c>
      <c r="M1293" s="15">
        <v>1338656.97</v>
      </c>
      <c r="N1293" s="15">
        <v>1157161.3699999999</v>
      </c>
      <c r="O1293" s="16">
        <v>181495.60000000009</v>
      </c>
    </row>
    <row r="1294" spans="2:15" ht="18.75" hidden="1" x14ac:dyDescent="0.25">
      <c r="B1294" s="4" t="s">
        <v>51</v>
      </c>
      <c r="C1294" s="5" t="s">
        <v>195</v>
      </c>
      <c r="D1294" s="5" t="s">
        <v>78</v>
      </c>
      <c r="E1294" s="5" t="s">
        <v>132</v>
      </c>
      <c r="F1294" s="5" t="s">
        <v>59</v>
      </c>
      <c r="G1294" s="14">
        <v>43863</v>
      </c>
      <c r="H1294" s="5">
        <v>101156461</v>
      </c>
      <c r="I1294" s="14">
        <v>43888</v>
      </c>
      <c r="J1294" s="5">
        <v>3300</v>
      </c>
      <c r="K1294" s="15">
        <v>47.45</v>
      </c>
      <c r="L1294" s="15">
        <v>31.79</v>
      </c>
      <c r="M1294" s="15">
        <v>156585</v>
      </c>
      <c r="N1294" s="15">
        <v>104907</v>
      </c>
      <c r="O1294" s="16">
        <v>51678</v>
      </c>
    </row>
    <row r="1295" spans="2:15" ht="18.75" hidden="1" x14ac:dyDescent="0.25">
      <c r="B1295" s="4" t="s">
        <v>74</v>
      </c>
      <c r="C1295" s="5" t="s">
        <v>104</v>
      </c>
      <c r="D1295" s="5" t="s">
        <v>80</v>
      </c>
      <c r="E1295" s="5" t="s">
        <v>132</v>
      </c>
      <c r="F1295" s="5" t="s">
        <v>63</v>
      </c>
      <c r="G1295" s="14">
        <v>42179</v>
      </c>
      <c r="H1295" s="5">
        <v>101157319</v>
      </c>
      <c r="I1295" s="14">
        <v>42195</v>
      </c>
      <c r="J1295" s="5">
        <v>3553</v>
      </c>
      <c r="K1295" s="15">
        <v>668.27</v>
      </c>
      <c r="L1295" s="15">
        <v>502.54</v>
      </c>
      <c r="M1295" s="15">
        <v>2374363.31</v>
      </c>
      <c r="N1295" s="15">
        <v>1785524.62</v>
      </c>
      <c r="O1295" s="16">
        <v>588838.68999999994</v>
      </c>
    </row>
    <row r="1296" spans="2:15" ht="18.75" hidden="1" x14ac:dyDescent="0.25">
      <c r="B1296" s="4" t="s">
        <v>72</v>
      </c>
      <c r="C1296" s="5" t="s">
        <v>258</v>
      </c>
      <c r="D1296" s="5" t="s">
        <v>100</v>
      </c>
      <c r="E1296" s="5" t="s">
        <v>132</v>
      </c>
      <c r="F1296" s="5" t="s">
        <v>63</v>
      </c>
      <c r="G1296" s="14">
        <v>43316</v>
      </c>
      <c r="H1296" s="5">
        <v>101157748</v>
      </c>
      <c r="I1296" s="14">
        <v>43328</v>
      </c>
      <c r="J1296" s="5">
        <v>3680</v>
      </c>
      <c r="K1296" s="15">
        <v>205.7</v>
      </c>
      <c r="L1296" s="15">
        <v>117.11</v>
      </c>
      <c r="M1296" s="15">
        <v>756976</v>
      </c>
      <c r="N1296" s="15">
        <v>430964.8</v>
      </c>
      <c r="O1296" s="16">
        <v>326011.2</v>
      </c>
    </row>
    <row r="1297" spans="2:15" ht="18.75" hidden="1" x14ac:dyDescent="0.25">
      <c r="B1297" s="4" t="s">
        <v>81</v>
      </c>
      <c r="C1297" s="5" t="s">
        <v>108</v>
      </c>
      <c r="D1297" s="5" t="s">
        <v>65</v>
      </c>
      <c r="E1297" s="5" t="s">
        <v>132</v>
      </c>
      <c r="F1297" s="5" t="s">
        <v>55</v>
      </c>
      <c r="G1297" s="14">
        <v>41675</v>
      </c>
      <c r="H1297" s="5">
        <v>101161611</v>
      </c>
      <c r="I1297" s="14">
        <v>41699</v>
      </c>
      <c r="J1297" s="5">
        <v>4823</v>
      </c>
      <c r="K1297" s="15">
        <v>651.21</v>
      </c>
      <c r="L1297" s="15">
        <v>524.96</v>
      </c>
      <c r="M1297" s="15">
        <v>3140785.83</v>
      </c>
      <c r="N1297" s="15">
        <v>2531882.08</v>
      </c>
      <c r="O1297" s="16">
        <v>608903.75</v>
      </c>
    </row>
    <row r="1298" spans="2:15" ht="18.75" hidden="1" x14ac:dyDescent="0.25">
      <c r="B1298" s="4" t="s">
        <v>74</v>
      </c>
      <c r="C1298" s="5" t="s">
        <v>249</v>
      </c>
      <c r="D1298" s="5" t="s">
        <v>88</v>
      </c>
      <c r="E1298" s="5" t="s">
        <v>132</v>
      </c>
      <c r="F1298" s="5" t="s">
        <v>70</v>
      </c>
      <c r="G1298" s="14">
        <v>42812</v>
      </c>
      <c r="H1298" s="5">
        <v>101162040</v>
      </c>
      <c r="I1298" s="14">
        <v>42831</v>
      </c>
      <c r="J1298" s="5">
        <v>4950</v>
      </c>
      <c r="K1298" s="15">
        <v>152.58000000000001</v>
      </c>
      <c r="L1298" s="15">
        <v>97.44</v>
      </c>
      <c r="M1298" s="15">
        <v>755271.00000000012</v>
      </c>
      <c r="N1298" s="15">
        <v>482328</v>
      </c>
      <c r="O1298" s="16">
        <v>272943.00000000012</v>
      </c>
    </row>
    <row r="1299" spans="2:15" ht="18.75" x14ac:dyDescent="0.25">
      <c r="B1299" s="4" t="s">
        <v>72</v>
      </c>
      <c r="C1299" s="5" t="s">
        <v>109</v>
      </c>
      <c r="D1299" s="5" t="s">
        <v>62</v>
      </c>
      <c r="E1299" s="5" t="s">
        <v>132</v>
      </c>
      <c r="F1299" s="5" t="s">
        <v>70</v>
      </c>
      <c r="G1299" s="14">
        <v>43949</v>
      </c>
      <c r="H1299" s="5">
        <v>101162469</v>
      </c>
      <c r="I1299" s="14">
        <v>43964</v>
      </c>
      <c r="J1299" s="5">
        <v>5077</v>
      </c>
      <c r="K1299" s="15">
        <v>437.2</v>
      </c>
      <c r="L1299" s="15">
        <v>263.33</v>
      </c>
      <c r="M1299" s="15">
        <v>2219664.4</v>
      </c>
      <c r="N1299" s="15">
        <v>1336926.4099999999</v>
      </c>
      <c r="O1299" s="16">
        <v>882737.99</v>
      </c>
    </row>
    <row r="1300" spans="2:15" ht="18.75" hidden="1" x14ac:dyDescent="0.25">
      <c r="B1300" s="7" t="s">
        <v>81</v>
      </c>
      <c r="C1300" s="8" t="s">
        <v>110</v>
      </c>
      <c r="D1300" s="8" t="s">
        <v>93</v>
      </c>
      <c r="E1300" s="8" t="s">
        <v>132</v>
      </c>
      <c r="F1300" s="8" t="s">
        <v>59</v>
      </c>
      <c r="G1300" s="21">
        <v>41128</v>
      </c>
      <c r="H1300" s="8">
        <v>101162898</v>
      </c>
      <c r="I1300" s="21">
        <v>41138</v>
      </c>
      <c r="J1300" s="8">
        <v>5204</v>
      </c>
      <c r="K1300" s="22">
        <v>81.73</v>
      </c>
      <c r="L1300" s="22">
        <v>56.67</v>
      </c>
      <c r="M1300" s="22">
        <v>425322.92000000004</v>
      </c>
      <c r="N1300" s="22">
        <v>294910.68</v>
      </c>
      <c r="O1300" s="23">
        <v>130412.24000000005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1A5CDF-2D6B-423C-B81F-8C92CE2B646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Filler Test Data</vt:lpstr>
      <vt:lpstr>Test Show Data</vt:lpstr>
      <vt:lpstr>Sheet2</vt:lpstr>
      <vt:lpstr>FilteredItemTestData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Ismail</dc:creator>
  <cp:lastModifiedBy>Ismail</cp:lastModifiedBy>
  <dcterms:created xsi:type="dcterms:W3CDTF">2015-06-05T18:17:20Z</dcterms:created>
  <dcterms:modified xsi:type="dcterms:W3CDTF">2021-12-24T14:39:52Z</dcterms:modified>
</cp:coreProperties>
</file>